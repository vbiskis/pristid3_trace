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nbiski/Documents/USC/Papers/4. Microchem - ANALYSIS/xls/"/>
    </mc:Choice>
  </mc:AlternateContent>
  <xr:revisionPtr revIDLastSave="0" documentId="13_ncr:1_{BDAF2CA2-798F-FA44-BB56-D298E18EC40C}" xr6:coauthVersionLast="47" xr6:coauthVersionMax="47" xr10:uidLastSave="{00000000-0000-0000-0000-000000000000}"/>
  <bookViews>
    <workbookView xWindow="0" yWindow="920" windowWidth="34560" windowHeight="20180" xr2:uid="{8C27DF4A-0252-674E-87D6-65B3822846D0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7" i="1" l="1"/>
  <c r="F147" i="1" s="1"/>
  <c r="W146" i="1"/>
  <c r="F146" i="1" s="1"/>
  <c r="U145" i="1"/>
  <c r="W145" i="1" s="1"/>
  <c r="F145" i="1" s="1"/>
  <c r="U144" i="1"/>
  <c r="W144" i="1" s="1"/>
  <c r="F144" i="1" s="1"/>
  <c r="U143" i="1"/>
  <c r="W143" i="1" s="1"/>
  <c r="F143" i="1" s="1"/>
  <c r="U142" i="1"/>
  <c r="W142" i="1" s="1"/>
  <c r="F142" i="1" s="1"/>
  <c r="U141" i="1"/>
  <c r="W141" i="1" s="1"/>
  <c r="F141" i="1" s="1"/>
  <c r="U140" i="1"/>
  <c r="W140" i="1" s="1"/>
  <c r="F140" i="1" s="1"/>
  <c r="U139" i="1"/>
  <c r="W139" i="1" s="1"/>
  <c r="F139" i="1" s="1"/>
  <c r="U138" i="1"/>
  <c r="W138" i="1" s="1"/>
  <c r="F138" i="1" s="1"/>
  <c r="U137" i="1"/>
  <c r="W137" i="1" s="1"/>
  <c r="F137" i="1" s="1"/>
  <c r="U136" i="1"/>
  <c r="W136" i="1" s="1"/>
  <c r="F136" i="1" s="1"/>
  <c r="U135" i="1"/>
  <c r="W135" i="1" s="1"/>
  <c r="F135" i="1" s="1"/>
  <c r="U134" i="1"/>
  <c r="W134" i="1" s="1"/>
  <c r="F134" i="1" s="1"/>
  <c r="U133" i="1"/>
  <c r="W133" i="1" s="1"/>
  <c r="F133" i="1" s="1"/>
  <c r="U132" i="1"/>
  <c r="W132" i="1" s="1"/>
  <c r="F132" i="1" s="1"/>
  <c r="U131" i="1"/>
  <c r="W131" i="1" s="1"/>
  <c r="F131" i="1" s="1"/>
  <c r="U130" i="1"/>
  <c r="W130" i="1" s="1"/>
  <c r="F130" i="1" s="1"/>
  <c r="U129" i="1"/>
  <c r="W129" i="1" s="1"/>
  <c r="F129" i="1" s="1"/>
  <c r="U128" i="1"/>
  <c r="W128" i="1" s="1"/>
  <c r="F128" i="1" s="1"/>
  <c r="U127" i="1"/>
  <c r="W127" i="1" s="1"/>
  <c r="F127" i="1" s="1"/>
  <c r="U126" i="1"/>
  <c r="W126" i="1" s="1"/>
  <c r="F126" i="1" s="1"/>
  <c r="E126" i="1"/>
  <c r="U125" i="1"/>
  <c r="W125" i="1" s="1"/>
  <c r="F125" i="1" s="1"/>
  <c r="U124" i="1"/>
  <c r="W124" i="1" s="1"/>
  <c r="F124" i="1" s="1"/>
  <c r="U123" i="1"/>
  <c r="W123" i="1" s="1"/>
  <c r="F123" i="1" s="1"/>
  <c r="U122" i="1"/>
  <c r="W122" i="1" s="1"/>
  <c r="F122" i="1" s="1"/>
  <c r="U121" i="1"/>
  <c r="W121" i="1" s="1"/>
  <c r="F121" i="1" s="1"/>
  <c r="U120" i="1"/>
  <c r="W120" i="1" s="1"/>
  <c r="F120" i="1" s="1"/>
  <c r="U119" i="1"/>
  <c r="W119" i="1" s="1"/>
  <c r="F119" i="1" s="1"/>
  <c r="U118" i="1"/>
  <c r="W118" i="1" s="1"/>
  <c r="F118" i="1" s="1"/>
  <c r="U117" i="1"/>
  <c r="W117" i="1" s="1"/>
  <c r="F117" i="1" s="1"/>
  <c r="U116" i="1"/>
  <c r="W116" i="1" s="1"/>
  <c r="F116" i="1" s="1"/>
  <c r="U115" i="1"/>
  <c r="W115" i="1" s="1"/>
  <c r="F115" i="1" s="1"/>
  <c r="U114" i="1"/>
  <c r="W114" i="1" s="1"/>
  <c r="F114" i="1" s="1"/>
  <c r="U113" i="1"/>
  <c r="W113" i="1" s="1"/>
  <c r="F113" i="1" s="1"/>
  <c r="U112" i="1"/>
  <c r="W112" i="1" s="1"/>
  <c r="F112" i="1" s="1"/>
  <c r="U111" i="1"/>
  <c r="W111" i="1" s="1"/>
  <c r="F111" i="1" s="1"/>
  <c r="U110" i="1"/>
  <c r="W110" i="1" s="1"/>
  <c r="F110" i="1" s="1"/>
  <c r="U109" i="1"/>
  <c r="W109" i="1" s="1"/>
  <c r="F109" i="1" s="1"/>
  <c r="U108" i="1"/>
  <c r="W108" i="1" s="1"/>
  <c r="F108" i="1" s="1"/>
  <c r="U107" i="1"/>
  <c r="W107" i="1" s="1"/>
  <c r="F107" i="1" s="1"/>
  <c r="U106" i="1"/>
  <c r="W106" i="1" s="1"/>
  <c r="F106" i="1" s="1"/>
  <c r="U105" i="1"/>
  <c r="W105" i="1" s="1"/>
  <c r="F105" i="1" s="1"/>
  <c r="U104" i="1"/>
  <c r="W104" i="1" s="1"/>
  <c r="F104" i="1" s="1"/>
  <c r="U103" i="1"/>
  <c r="W103" i="1" s="1"/>
  <c r="F103" i="1" s="1"/>
  <c r="U102" i="1"/>
  <c r="W102" i="1" s="1"/>
  <c r="F102" i="1" s="1"/>
  <c r="U101" i="1"/>
  <c r="W101" i="1" s="1"/>
  <c r="F101" i="1" s="1"/>
  <c r="U100" i="1"/>
  <c r="W100" i="1" s="1"/>
  <c r="F100" i="1" s="1"/>
  <c r="U99" i="1"/>
  <c r="W99" i="1" s="1"/>
  <c r="F99" i="1" s="1"/>
  <c r="U98" i="1"/>
  <c r="W98" i="1" s="1"/>
  <c r="F98" i="1" s="1"/>
  <c r="U97" i="1"/>
  <c r="W97" i="1" s="1"/>
  <c r="F97" i="1" s="1"/>
  <c r="U96" i="1"/>
  <c r="W96" i="1" s="1"/>
  <c r="F96" i="1" s="1"/>
  <c r="U95" i="1"/>
  <c r="W95" i="1" s="1"/>
  <c r="F95" i="1" s="1"/>
  <c r="U94" i="1"/>
  <c r="W94" i="1" s="1"/>
  <c r="F94" i="1" s="1"/>
  <c r="U93" i="1"/>
  <c r="W93" i="1" s="1"/>
  <c r="F93" i="1" s="1"/>
  <c r="U92" i="1"/>
  <c r="W92" i="1" s="1"/>
  <c r="F92" i="1" s="1"/>
  <c r="U91" i="1"/>
  <c r="W91" i="1" s="1"/>
  <c r="F91" i="1" s="1"/>
  <c r="U90" i="1"/>
  <c r="W90" i="1" s="1"/>
  <c r="F90" i="1" s="1"/>
  <c r="U89" i="1"/>
  <c r="W89" i="1" s="1"/>
  <c r="F89" i="1" s="1"/>
  <c r="U88" i="1"/>
  <c r="W88" i="1" s="1"/>
  <c r="F88" i="1" s="1"/>
  <c r="U87" i="1"/>
  <c r="W87" i="1" s="1"/>
  <c r="F87" i="1" s="1"/>
  <c r="U86" i="1"/>
  <c r="W86" i="1" s="1"/>
  <c r="F86" i="1" s="1"/>
  <c r="U85" i="1"/>
  <c r="W85" i="1" s="1"/>
  <c r="F85" i="1" s="1"/>
  <c r="U84" i="1"/>
  <c r="W84" i="1" s="1"/>
  <c r="F84" i="1" s="1"/>
  <c r="U83" i="1"/>
  <c r="W83" i="1" s="1"/>
  <c r="F83" i="1" s="1"/>
  <c r="U82" i="1"/>
  <c r="W82" i="1" s="1"/>
  <c r="F82" i="1" s="1"/>
  <c r="U81" i="1"/>
  <c r="W81" i="1" s="1"/>
  <c r="F81" i="1" s="1"/>
  <c r="U80" i="1"/>
  <c r="W80" i="1" s="1"/>
  <c r="F80" i="1" s="1"/>
  <c r="U79" i="1"/>
  <c r="W79" i="1" s="1"/>
  <c r="F79" i="1" s="1"/>
  <c r="U78" i="1"/>
  <c r="W78" i="1" s="1"/>
  <c r="F78" i="1" s="1"/>
  <c r="H78" i="1"/>
  <c r="U77" i="1"/>
  <c r="W77" i="1" s="1"/>
  <c r="F77" i="1" s="1"/>
  <c r="U76" i="1"/>
  <c r="W76" i="1" s="1"/>
  <c r="F76" i="1" s="1"/>
  <c r="U75" i="1"/>
  <c r="W75" i="1" s="1"/>
  <c r="F75" i="1" s="1"/>
  <c r="U74" i="1"/>
  <c r="W74" i="1" s="1"/>
  <c r="F74" i="1" s="1"/>
  <c r="U73" i="1"/>
  <c r="W73" i="1" s="1"/>
  <c r="F73" i="1" s="1"/>
  <c r="U72" i="1"/>
  <c r="W72" i="1" s="1"/>
  <c r="F72" i="1" s="1"/>
  <c r="U71" i="1"/>
  <c r="W71" i="1" s="1"/>
  <c r="F71" i="1" s="1"/>
  <c r="U70" i="1"/>
  <c r="W70" i="1" s="1"/>
  <c r="F70" i="1" s="1"/>
  <c r="U69" i="1"/>
  <c r="W69" i="1" s="1"/>
  <c r="F69" i="1" s="1"/>
  <c r="U68" i="1"/>
  <c r="W68" i="1" s="1"/>
  <c r="F68" i="1" s="1"/>
  <c r="U67" i="1"/>
  <c r="W67" i="1" s="1"/>
  <c r="F67" i="1" s="1"/>
  <c r="U66" i="1"/>
  <c r="W66" i="1" s="1"/>
  <c r="F66" i="1" s="1"/>
  <c r="U65" i="1"/>
  <c r="W65" i="1" s="1"/>
  <c r="F65" i="1" s="1"/>
  <c r="U64" i="1"/>
  <c r="W64" i="1" s="1"/>
  <c r="F64" i="1" s="1"/>
  <c r="U63" i="1"/>
  <c r="W63" i="1" s="1"/>
  <c r="F63" i="1" s="1"/>
  <c r="U62" i="1"/>
  <c r="W62" i="1" s="1"/>
  <c r="F62" i="1" s="1"/>
  <c r="U61" i="1"/>
  <c r="W61" i="1" s="1"/>
  <c r="F61" i="1" s="1"/>
  <c r="U60" i="1"/>
  <c r="W60" i="1" s="1"/>
  <c r="F60" i="1" s="1"/>
  <c r="U59" i="1"/>
  <c r="W59" i="1" s="1"/>
  <c r="F59" i="1" s="1"/>
  <c r="U58" i="1"/>
  <c r="W58" i="1" s="1"/>
  <c r="F58" i="1" s="1"/>
  <c r="U57" i="1"/>
  <c r="W57" i="1" s="1"/>
  <c r="F57" i="1" s="1"/>
  <c r="U56" i="1"/>
  <c r="W56" i="1" s="1"/>
  <c r="F56" i="1" s="1"/>
  <c r="U55" i="1"/>
  <c r="W55" i="1" s="1"/>
  <c r="F55" i="1" s="1"/>
  <c r="U54" i="1"/>
  <c r="W54" i="1" s="1"/>
  <c r="F54" i="1" s="1"/>
  <c r="U53" i="1"/>
  <c r="W53" i="1" s="1"/>
  <c r="F53" i="1" s="1"/>
  <c r="U52" i="1"/>
  <c r="W52" i="1" s="1"/>
  <c r="F52" i="1" s="1"/>
  <c r="U51" i="1"/>
  <c r="W51" i="1" s="1"/>
  <c r="F51" i="1" s="1"/>
  <c r="U50" i="1"/>
  <c r="W50" i="1" s="1"/>
  <c r="F50" i="1" s="1"/>
  <c r="U49" i="1"/>
  <c r="W49" i="1" s="1"/>
  <c r="F49" i="1" s="1"/>
  <c r="U48" i="1"/>
  <c r="W48" i="1" s="1"/>
  <c r="F48" i="1" s="1"/>
  <c r="U47" i="1"/>
  <c r="W47" i="1" s="1"/>
  <c r="F47" i="1" s="1"/>
  <c r="U46" i="1"/>
  <c r="W46" i="1" s="1"/>
  <c r="F46" i="1" s="1"/>
  <c r="U45" i="1"/>
  <c r="W45" i="1" s="1"/>
  <c r="F45" i="1" s="1"/>
  <c r="U44" i="1"/>
  <c r="W44" i="1" s="1"/>
  <c r="F44" i="1" s="1"/>
  <c r="U43" i="1"/>
  <c r="W43" i="1" s="1"/>
  <c r="F43" i="1" s="1"/>
  <c r="U42" i="1"/>
  <c r="W42" i="1" s="1"/>
  <c r="F42" i="1" s="1"/>
  <c r="U41" i="1"/>
  <c r="W41" i="1" s="1"/>
  <c r="F41" i="1" s="1"/>
  <c r="U40" i="1"/>
  <c r="W40" i="1" s="1"/>
  <c r="F40" i="1" s="1"/>
  <c r="U39" i="1"/>
  <c r="W39" i="1" s="1"/>
  <c r="F39" i="1" s="1"/>
  <c r="U38" i="1"/>
  <c r="W38" i="1" s="1"/>
  <c r="F38" i="1" s="1"/>
  <c r="U37" i="1"/>
  <c r="W37" i="1" s="1"/>
  <c r="F37" i="1" s="1"/>
  <c r="U36" i="1"/>
  <c r="W36" i="1" s="1"/>
  <c r="F36" i="1" s="1"/>
  <c r="U35" i="1"/>
  <c r="W35" i="1" s="1"/>
  <c r="F35" i="1" s="1"/>
  <c r="U34" i="1"/>
  <c r="W34" i="1" s="1"/>
  <c r="F34" i="1" s="1"/>
  <c r="U33" i="1"/>
  <c r="W33" i="1" s="1"/>
  <c r="F33" i="1" s="1"/>
  <c r="U32" i="1"/>
  <c r="W32" i="1" s="1"/>
  <c r="F32" i="1" s="1"/>
  <c r="U31" i="1"/>
  <c r="W31" i="1" s="1"/>
  <c r="F31" i="1" s="1"/>
  <c r="U30" i="1"/>
  <c r="W30" i="1" s="1"/>
  <c r="F30" i="1" s="1"/>
  <c r="U29" i="1"/>
  <c r="W29" i="1" s="1"/>
  <c r="F29" i="1" s="1"/>
  <c r="U28" i="1"/>
  <c r="W28" i="1" s="1"/>
  <c r="F28" i="1" s="1"/>
  <c r="U27" i="1"/>
  <c r="W27" i="1" s="1"/>
  <c r="F27" i="1" s="1"/>
  <c r="U26" i="1"/>
  <c r="W26" i="1" s="1"/>
  <c r="F26" i="1" s="1"/>
  <c r="U25" i="1"/>
  <c r="W25" i="1" s="1"/>
  <c r="F25" i="1" s="1"/>
  <c r="U24" i="1"/>
  <c r="W24" i="1" s="1"/>
  <c r="F24" i="1" s="1"/>
  <c r="U23" i="1"/>
  <c r="W23" i="1" s="1"/>
  <c r="F23" i="1" s="1"/>
  <c r="U22" i="1"/>
  <c r="W22" i="1" s="1"/>
  <c r="F22" i="1" s="1"/>
  <c r="U21" i="1"/>
  <c r="W21" i="1" s="1"/>
  <c r="F21" i="1" s="1"/>
  <c r="U20" i="1"/>
  <c r="W20" i="1" s="1"/>
  <c r="F20" i="1" s="1"/>
  <c r="U19" i="1"/>
  <c r="W19" i="1" s="1"/>
  <c r="F19" i="1" s="1"/>
  <c r="U18" i="1"/>
  <c r="W18" i="1" s="1"/>
  <c r="F18" i="1" s="1"/>
  <c r="U17" i="1"/>
  <c r="W17" i="1" s="1"/>
  <c r="F17" i="1" s="1"/>
  <c r="U16" i="1"/>
  <c r="W16" i="1" s="1"/>
  <c r="F16" i="1" s="1"/>
  <c r="U15" i="1"/>
  <c r="W15" i="1" s="1"/>
  <c r="F15" i="1" s="1"/>
  <c r="U14" i="1"/>
  <c r="W14" i="1" s="1"/>
  <c r="F14" i="1" s="1"/>
  <c r="U13" i="1"/>
  <c r="W13" i="1" s="1"/>
  <c r="F13" i="1" s="1"/>
  <c r="U12" i="1"/>
  <c r="W12" i="1" s="1"/>
  <c r="F12" i="1" s="1"/>
  <c r="U11" i="1"/>
  <c r="W11" i="1" s="1"/>
  <c r="F11" i="1" s="1"/>
  <c r="U10" i="1"/>
  <c r="W10" i="1" s="1"/>
  <c r="F10" i="1" s="1"/>
  <c r="U9" i="1"/>
  <c r="W9" i="1" s="1"/>
  <c r="F9" i="1" s="1"/>
  <c r="U8" i="1"/>
  <c r="W8" i="1" s="1"/>
  <c r="F8" i="1" s="1"/>
  <c r="U7" i="1"/>
  <c r="W7" i="1" s="1"/>
  <c r="F7" i="1" s="1"/>
  <c r="U6" i="1"/>
  <c r="W6" i="1" s="1"/>
  <c r="F6" i="1" s="1"/>
  <c r="U5" i="1"/>
  <c r="W5" i="1" s="1"/>
  <c r="F5" i="1" s="1"/>
  <c r="U4" i="1"/>
  <c r="W4" i="1" s="1"/>
  <c r="F4" i="1" s="1"/>
  <c r="U3" i="1"/>
  <c r="W3" i="1" s="1"/>
  <c r="F3" i="1" s="1"/>
  <c r="E3" i="1"/>
  <c r="U2" i="1"/>
  <c r="W2" i="1" s="1"/>
  <c r="F2" i="1" s="1"/>
</calcChain>
</file>

<file path=xl/sharedStrings.xml><?xml version="1.0" encoding="utf-8"?>
<sst xmlns="http://schemas.openxmlformats.org/spreadsheetml/2006/main" count="1483" uniqueCount="246">
  <si>
    <t>ID</t>
  </si>
  <si>
    <t>Profile</t>
  </si>
  <si>
    <t>Species</t>
  </si>
  <si>
    <t>Year</t>
  </si>
  <si>
    <t>Date_Unc</t>
  </si>
  <si>
    <t>Origin</t>
  </si>
  <si>
    <t>LAT</t>
  </si>
  <si>
    <t>LONG</t>
  </si>
  <si>
    <t>River</t>
  </si>
  <si>
    <t>Region</t>
  </si>
  <si>
    <t>TRL</t>
  </si>
  <si>
    <t>SRL</t>
  </si>
  <si>
    <t>RTC</t>
  </si>
  <si>
    <t>LTC</t>
  </si>
  <si>
    <t>TL_MP</t>
  </si>
  <si>
    <t>Class</t>
  </si>
  <si>
    <t>Age_SP</t>
  </si>
  <si>
    <t>CB001</t>
  </si>
  <si>
    <t>Anoxypristis cuspidata</t>
  </si>
  <si>
    <t>Cooya Beach</t>
  </si>
  <si>
    <t>Mossman</t>
  </si>
  <si>
    <t>NEQ</t>
  </si>
  <si>
    <t>ADULT</t>
  </si>
  <si>
    <t>CNSAQ01</t>
  </si>
  <si>
    <t>Pristis pristis</t>
  </si>
  <si>
    <t>Norman, Aquarium</t>
  </si>
  <si>
    <t>Norman</t>
  </si>
  <si>
    <t>GoC</t>
  </si>
  <si>
    <t>IMMATURE</t>
  </si>
  <si>
    <t>NB028</t>
  </si>
  <si>
    <t>Pristis zijsron</t>
  </si>
  <si>
    <t>Cape Upstart - Yeppoon</t>
  </si>
  <si>
    <t>Proserpine - Shoalwater</t>
  </si>
  <si>
    <t>CEQ</t>
  </si>
  <si>
    <t>NB029</t>
  </si>
  <si>
    <t>YOY</t>
  </si>
  <si>
    <t>NB032</t>
  </si>
  <si>
    <t>NB033</t>
  </si>
  <si>
    <t>NB034</t>
  </si>
  <si>
    <t>NB035</t>
  </si>
  <si>
    <t>NB036</t>
  </si>
  <si>
    <t>NB038</t>
  </si>
  <si>
    <t>NB039</t>
  </si>
  <si>
    <t>NB040</t>
  </si>
  <si>
    <t>QBFP000016</t>
  </si>
  <si>
    <t>QBFP000020</t>
  </si>
  <si>
    <t>QBFP000021</t>
  </si>
  <si>
    <t>QBFP000033</t>
  </si>
  <si>
    <t>QBFP000042</t>
  </si>
  <si>
    <t>QBFP000043</t>
  </si>
  <si>
    <t>QBFP000055</t>
  </si>
  <si>
    <t>QBFP000058</t>
  </si>
  <si>
    <t>QBFP000067</t>
  </si>
  <si>
    <t>QBFP000068</t>
  </si>
  <si>
    <t>QBFP000071</t>
  </si>
  <si>
    <t>QBFP000076</t>
  </si>
  <si>
    <t>QBFP000084</t>
  </si>
  <si>
    <t>QBFP000100</t>
  </si>
  <si>
    <t>QBFP000102</t>
  </si>
  <si>
    <t>QBFP000107</t>
  </si>
  <si>
    <t>QBFP000108</t>
  </si>
  <si>
    <t>QBFP000115</t>
  </si>
  <si>
    <t>QBFP000117</t>
  </si>
  <si>
    <t>QBFP000124</t>
  </si>
  <si>
    <t>QBFP000125</t>
  </si>
  <si>
    <t>QBFP000134</t>
  </si>
  <si>
    <t>QBFP000142</t>
  </si>
  <si>
    <t>QBFP000158</t>
  </si>
  <si>
    <t>QBFP000165</t>
  </si>
  <si>
    <t>QBFP000167</t>
  </si>
  <si>
    <t>QBFP000170</t>
  </si>
  <si>
    <t>QBFP000171</t>
  </si>
  <si>
    <t>QBFP000192</t>
  </si>
  <si>
    <t>QBFP000219</t>
  </si>
  <si>
    <t>QBFP000220</t>
  </si>
  <si>
    <t>QBFP000221</t>
  </si>
  <si>
    <t>QBFP000243</t>
  </si>
  <si>
    <t>QBFP000248</t>
  </si>
  <si>
    <t>QBFP000256</t>
  </si>
  <si>
    <t>BTWN</t>
  </si>
  <si>
    <t>QBFP000257</t>
  </si>
  <si>
    <t>QBFP000269</t>
  </si>
  <si>
    <t>QBFP000271</t>
  </si>
  <si>
    <t>QBFP000273</t>
  </si>
  <si>
    <t>QBFP000276</t>
  </si>
  <si>
    <t>QBFP000285</t>
  </si>
  <si>
    <t>QBFP000286</t>
  </si>
  <si>
    <t>QBFP000288</t>
  </si>
  <si>
    <t>QBFP000293</t>
  </si>
  <si>
    <t>QBFP000300</t>
  </si>
  <si>
    <t>QBFP000304</t>
  </si>
  <si>
    <t>QBFP000310</t>
  </si>
  <si>
    <t>Port Alma</t>
  </si>
  <si>
    <t>Fitzroy</t>
  </si>
  <si>
    <t>QBFP000311</t>
  </si>
  <si>
    <t>QBFP000313</t>
  </si>
  <si>
    <t>QBFP000315</t>
  </si>
  <si>
    <t>QBFP000317</t>
  </si>
  <si>
    <t>QBFP000318</t>
  </si>
  <si>
    <t>QBFP000321</t>
  </si>
  <si>
    <t>QBFP000338</t>
  </si>
  <si>
    <t>QBFP000339</t>
  </si>
  <si>
    <t>QBFP000343</t>
  </si>
  <si>
    <t>QBFP000351</t>
  </si>
  <si>
    <t>QBFP000355</t>
  </si>
  <si>
    <t>QBFP000367</t>
  </si>
  <si>
    <t>QBFP000375</t>
  </si>
  <si>
    <t>QBFP000380</t>
  </si>
  <si>
    <t>QBFP000383</t>
  </si>
  <si>
    <t>QBFP000394</t>
  </si>
  <si>
    <t>QBFP000396</t>
  </si>
  <si>
    <t>QBFP000418</t>
  </si>
  <si>
    <t>Stanage Bay, Yeppoon</t>
  </si>
  <si>
    <t>Shoalwater</t>
  </si>
  <si>
    <t>QBFP000419</t>
  </si>
  <si>
    <t>QBFP000420</t>
  </si>
  <si>
    <t>QBFP000421</t>
  </si>
  <si>
    <t>QBFP000427</t>
  </si>
  <si>
    <t>QBFP000430</t>
  </si>
  <si>
    <t>QBFP000432</t>
  </si>
  <si>
    <t>QBFP000436</t>
  </si>
  <si>
    <t>QBFP000437</t>
  </si>
  <si>
    <t>QBFP000438</t>
  </si>
  <si>
    <t>QBFP000439</t>
  </si>
  <si>
    <t>QBFP000440</t>
  </si>
  <si>
    <t>QBFP000445</t>
  </si>
  <si>
    <t>QBFP000447</t>
  </si>
  <si>
    <t>QBFP000448</t>
  </si>
  <si>
    <t>QBFP000453</t>
  </si>
  <si>
    <t>QBFP000455</t>
  </si>
  <si>
    <t>QBFP000475</t>
  </si>
  <si>
    <t>Port Clinton, Shoalwater Bay</t>
  </si>
  <si>
    <t>QBFP000480</t>
  </si>
  <si>
    <t>Chunda Bay, Townsville</t>
  </si>
  <si>
    <t>Haughton</t>
  </si>
  <si>
    <t>QBFP000482</t>
  </si>
  <si>
    <t>QBFP000483</t>
  </si>
  <si>
    <t>QBFP000484</t>
  </si>
  <si>
    <t>QBFP000485</t>
  </si>
  <si>
    <t>QBFP000486</t>
  </si>
  <si>
    <t>QBFP001955</t>
  </si>
  <si>
    <t>Pennefather River</t>
  </si>
  <si>
    <t>Pennefather</t>
  </si>
  <si>
    <t>WCY</t>
  </si>
  <si>
    <t>QBFP001957</t>
  </si>
  <si>
    <t>Karumba, Gillnet</t>
  </si>
  <si>
    <t>QBFP003122</t>
  </si>
  <si>
    <t>St. Helens to Claireview</t>
  </si>
  <si>
    <t>Styx-Shoalwater</t>
  </si>
  <si>
    <t>QBFP003124</t>
  </si>
  <si>
    <t>QBFP003127</t>
  </si>
  <si>
    <t>QBFP003128</t>
  </si>
  <si>
    <t>QBFP003129</t>
  </si>
  <si>
    <t>QBFP003130</t>
  </si>
  <si>
    <t>QBFP003138</t>
  </si>
  <si>
    <t>QBFP003146</t>
  </si>
  <si>
    <t>QBFP003149</t>
  </si>
  <si>
    <t>QBFP003150</t>
  </si>
  <si>
    <t>QBFP003151</t>
  </si>
  <si>
    <t>QBFP003153</t>
  </si>
  <si>
    <t>QBFP003161</t>
  </si>
  <si>
    <t>QBFP003163</t>
  </si>
  <si>
    <t>QBFP003165</t>
  </si>
  <si>
    <t>QBFP003174</t>
  </si>
  <si>
    <t>QBFP003182</t>
  </si>
  <si>
    <t>QBFP004107</t>
  </si>
  <si>
    <t>Weipa</t>
  </si>
  <si>
    <t>Embley</t>
  </si>
  <si>
    <t>QBFP004224</t>
  </si>
  <si>
    <t>Mitchell River, Gillnet</t>
  </si>
  <si>
    <t>Mitchell</t>
  </si>
  <si>
    <t>QBFP004225</t>
  </si>
  <si>
    <t>Normanby River, PCB, Gillnet</t>
  </si>
  <si>
    <t>Normanby</t>
  </si>
  <si>
    <t>QBFP004228</t>
  </si>
  <si>
    <t>QBFP004230</t>
  </si>
  <si>
    <t>QBFP004241</t>
  </si>
  <si>
    <t>Between Port Douglas and Hinchinbrook</t>
  </si>
  <si>
    <t>Daintree-Herbert</t>
  </si>
  <si>
    <t>QBFP004259</t>
  </si>
  <si>
    <t>Bowen</t>
  </si>
  <si>
    <t>Don</t>
  </si>
  <si>
    <t>QBFP004272</t>
  </si>
  <si>
    <t>Bynoe</t>
  </si>
  <si>
    <t>Flinders</t>
  </si>
  <si>
    <t>QBFP004389</t>
  </si>
  <si>
    <t>Between Mitchell &amp; NT</t>
  </si>
  <si>
    <t>Mitchell - Nicholson</t>
  </si>
  <si>
    <t>QBFP004452</t>
  </si>
  <si>
    <t>QBFP004459</t>
  </si>
  <si>
    <t>QBFP004461</t>
  </si>
  <si>
    <t>Mitchell River mouth, Gillnet</t>
  </si>
  <si>
    <t>QBFP004462</t>
  </si>
  <si>
    <t>QBFP004463</t>
  </si>
  <si>
    <t>QBFP004464</t>
  </si>
  <si>
    <t>QBFP004465</t>
  </si>
  <si>
    <t>QBFP004466</t>
  </si>
  <si>
    <t>QBFP004467</t>
  </si>
  <si>
    <t>QBFP004468</t>
  </si>
  <si>
    <t>QBFP004469</t>
  </si>
  <si>
    <t>QBFP004650</t>
  </si>
  <si>
    <t>K'gari (Fraser Island)</t>
  </si>
  <si>
    <t>Mary</t>
  </si>
  <si>
    <t>SEQ</t>
  </si>
  <si>
    <t>QBFP004651</t>
  </si>
  <si>
    <t>Mission Beach - PCB</t>
  </si>
  <si>
    <t>Johnstone</t>
  </si>
  <si>
    <t>QBFP004891</t>
  </si>
  <si>
    <t>Karumba</t>
  </si>
  <si>
    <t>QBFP005707</t>
  </si>
  <si>
    <t>Wunjunga Beach</t>
  </si>
  <si>
    <t>Burdekin</t>
  </si>
  <si>
    <t>QBFP005709</t>
  </si>
  <si>
    <t>SMA001</t>
  </si>
  <si>
    <t>SMA002</t>
  </si>
  <si>
    <t>Bynoe, Aquarium</t>
  </si>
  <si>
    <t>r</t>
  </si>
  <si>
    <t>E</t>
  </si>
  <si>
    <t>W</t>
  </si>
  <si>
    <t>S</t>
  </si>
  <si>
    <t>N</t>
  </si>
  <si>
    <t>EW</t>
  </si>
  <si>
    <t>NS</t>
  </si>
  <si>
    <t>RivGrp</t>
  </si>
  <si>
    <t>C</t>
  </si>
  <si>
    <t>Tip_Year</t>
  </si>
  <si>
    <t>Aquarium</t>
  </si>
  <si>
    <t>AQ</t>
  </si>
  <si>
    <t>SGoC</t>
  </si>
  <si>
    <t>NGoC</t>
  </si>
  <si>
    <t>UGoC</t>
  </si>
  <si>
    <t>FNEQ</t>
  </si>
  <si>
    <t>Rsplit</t>
  </si>
  <si>
    <t>RG10</t>
  </si>
  <si>
    <t>RG11</t>
  </si>
  <si>
    <t>RG12</t>
  </si>
  <si>
    <t>RG13</t>
  </si>
  <si>
    <t>RG01</t>
  </si>
  <si>
    <t>RG02</t>
  </si>
  <si>
    <t>RG03</t>
  </si>
  <si>
    <t>RG04</t>
  </si>
  <si>
    <t>RG07</t>
  </si>
  <si>
    <t>RG05</t>
  </si>
  <si>
    <t>RG08</t>
  </si>
  <si>
    <t>RG09</t>
  </si>
  <si>
    <t>RG06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</si>
</sst>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21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Helvetica"/>
      <family val="2"/>
    </font>
    <font>
      <i/>
      <sz val="12"/>
      <color rgb="FF000000"/>
      <name val="Aptos Narrow"/>
      <family val="2"/>
      <scheme val="minor"/>
    </font>
    <font>
      <sz val="11"/>
      <color rgb="FF000000"/>
      <name val="Helvetica"/>
      <family val="2"/>
    </font>
    <font>
      <i/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 (Body)"/>
    </font>
    <font>
      <sz val="12"/>
      <color rgb="FF000000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2"/>
      <color theme="1"/>
      <name val="Calibri"/>
      <family val="2"/>
    </font>
    <font>
      <sz val="11"/>
      <color rgb="FF000000"/>
      <name val="Helvetica Neue"/>
      <family val="2"/>
    </font>
    <font>
      <sz val="11"/>
      <color theme="1"/>
      <name val="Helvetica Neue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EFFB5"/>
        <bgColor rgb="FFFEFFB5"/>
      </patternFill>
    </fill>
    <fill>
      <patternFill patternType="solid">
        <fgColor rgb="FFFBD4B4"/>
        <bgColor rgb="FFFBD4B4"/>
      </patternFill>
    </fill>
    <fill>
      <patternFill patternType="solid">
        <fgColor theme="4" tint="0.59999389629810485"/>
        <bgColor rgb="FFFBD4B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/>
    <xf numFmtId="0" fontId="8" fillId="0" borderId="0" xfId="0" applyFont="1"/>
    <xf numFmtId="0" fontId="9" fillId="0" borderId="0" xfId="0" applyFont="1"/>
    <xf numFmtId="49" fontId="10" fillId="0" borderId="0" xfId="0" applyNumberFormat="1" applyFont="1" applyAlignment="1">
      <alignment wrapText="1"/>
    </xf>
    <xf numFmtId="165" fontId="11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12" fillId="0" borderId="0" xfId="0" applyFont="1"/>
    <xf numFmtId="1" fontId="10" fillId="0" borderId="0" xfId="0" applyNumberFormat="1" applyFont="1" applyAlignment="1">
      <alignment horizontal="right" wrapText="1"/>
    </xf>
    <xf numFmtId="0" fontId="1" fillId="0" borderId="0" xfId="0" applyFont="1"/>
    <xf numFmtId="165" fontId="13" fillId="0" borderId="0" xfId="0" applyNumberFormat="1" applyFont="1" applyAlignment="1">
      <alignment horizontal="center"/>
    </xf>
    <xf numFmtId="0" fontId="14" fillId="0" borderId="0" xfId="0" applyFont="1"/>
    <xf numFmtId="1" fontId="1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0" xfId="0" applyFont="1"/>
    <xf numFmtId="0" fontId="17" fillId="0" borderId="0" xfId="0" applyFont="1" applyAlignment="1">
      <alignment horizontal="left"/>
    </xf>
    <xf numFmtId="1" fontId="10" fillId="0" borderId="0" xfId="0" applyNumberFormat="1" applyFont="1" applyAlignment="1">
      <alignment wrapText="1"/>
    </xf>
    <xf numFmtId="165" fontId="10" fillId="0" borderId="0" xfId="0" applyNumberFormat="1" applyFont="1" applyAlignment="1">
      <alignment horizontal="center" wrapText="1"/>
    </xf>
    <xf numFmtId="0" fontId="15" fillId="0" borderId="0" xfId="0" applyFont="1" applyAlignment="1">
      <alignment horizontal="right"/>
    </xf>
    <xf numFmtId="49" fontId="3" fillId="7" borderId="0" xfId="0" applyNumberFormat="1" applyFont="1" applyFill="1" applyAlignment="1">
      <alignment horizontal="right"/>
    </xf>
    <xf numFmtId="49" fontId="10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center"/>
    </xf>
    <xf numFmtId="165" fontId="18" fillId="0" borderId="0" xfId="0" applyNumberFormat="1" applyFont="1" applyAlignment="1">
      <alignment horizontal="center"/>
    </xf>
    <xf numFmtId="1" fontId="13" fillId="0" borderId="0" xfId="0" applyNumberFormat="1" applyFont="1"/>
    <xf numFmtId="164" fontId="13" fillId="0" borderId="0" xfId="0" applyNumberFormat="1" applyFont="1"/>
    <xf numFmtId="1" fontId="13" fillId="0" borderId="0" xfId="0" applyNumberFormat="1" applyFont="1" applyAlignment="1">
      <alignment wrapText="1"/>
    </xf>
    <xf numFmtId="0" fontId="13" fillId="0" borderId="0" xfId="0" applyFont="1"/>
    <xf numFmtId="2" fontId="13" fillId="0" borderId="0" xfId="0" applyNumberFormat="1" applyFont="1"/>
    <xf numFmtId="1" fontId="10" fillId="0" borderId="0" xfId="0" applyNumberFormat="1" applyFont="1" applyAlignment="1">
      <alignment horizontal="center" wrapText="1"/>
    </xf>
    <xf numFmtId="1" fontId="11" fillId="0" borderId="0" xfId="0" applyNumberFormat="1" applyFont="1" applyAlignment="1">
      <alignment horizontal="center"/>
    </xf>
    <xf numFmtId="0" fontId="13" fillId="0" borderId="0" xfId="0" applyFont="1" applyAlignment="1">
      <alignment horizontal="right" wrapText="1"/>
    </xf>
    <xf numFmtId="165" fontId="19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2" fillId="7" borderId="0" xfId="0" applyFont="1" applyFill="1" applyAlignment="1">
      <alignment horizontal="right"/>
    </xf>
    <xf numFmtId="0" fontId="10" fillId="0" borderId="0" xfId="0" applyFont="1" applyAlignment="1">
      <alignment wrapText="1"/>
    </xf>
    <xf numFmtId="165" fontId="11" fillId="0" borderId="0" xfId="0" applyNumberFormat="1" applyFont="1" applyAlignment="1">
      <alignment horizontal="center" wrapText="1"/>
    </xf>
    <xf numFmtId="165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3A23-860B-2B4F-8087-D4FE6E45E6AE}">
  <sheetPr>
    <tabColor theme="9"/>
  </sheetPr>
  <dimension ref="A1:X176"/>
  <sheetViews>
    <sheetView tabSelected="1" topLeftCell="K114" zoomScale="150" workbookViewId="0">
      <selection activeCell="U122" sqref="U122"/>
    </sheetView>
  </sheetViews>
  <sheetFormatPr baseColWidth="10" defaultRowHeight="16" x14ac:dyDescent="0.2"/>
  <cols>
    <col min="1" max="1" width="13.33203125" style="15" bestFit="1" customWidth="1"/>
    <col min="2" max="2" width="6.5" style="15" bestFit="1" customWidth="1"/>
    <col min="3" max="3" width="20.1640625" customWidth="1"/>
    <col min="4" max="4" width="9.83203125" bestFit="1" customWidth="1"/>
    <col min="5" max="6" width="11.6640625" style="12" customWidth="1"/>
    <col min="7" max="7" width="25.6640625" customWidth="1"/>
    <col min="8" max="8" width="12.1640625" style="13" customWidth="1"/>
    <col min="9" max="9" width="12.6640625" style="13" customWidth="1"/>
    <col min="10" max="10" width="10.83203125" customWidth="1"/>
    <col min="11" max="11" width="20.5" customWidth="1"/>
    <col min="12" max="12" width="6.83203125" bestFit="1" customWidth="1"/>
    <col min="13" max="13" width="6.5" bestFit="1" customWidth="1"/>
    <col min="14" max="14" width="8.6640625" bestFit="1" customWidth="1"/>
    <col min="15" max="15" width="4" bestFit="1" customWidth="1"/>
    <col min="16" max="16" width="3.5" bestFit="1" customWidth="1"/>
    <col min="17" max="18" width="10.83203125" style="54"/>
    <col min="22" max="22" width="10.83203125" style="54"/>
  </cols>
  <sheetData>
    <row r="1" spans="1:24" s="7" customFormat="1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225</v>
      </c>
      <c r="G1" s="4" t="s">
        <v>5</v>
      </c>
      <c r="H1" s="4" t="s">
        <v>6</v>
      </c>
      <c r="I1" s="4" t="s">
        <v>7</v>
      </c>
      <c r="J1" s="4" t="s">
        <v>216</v>
      </c>
      <c r="K1" s="4" t="s">
        <v>8</v>
      </c>
      <c r="L1" s="4" t="s">
        <v>9</v>
      </c>
      <c r="M1" s="4" t="s">
        <v>232</v>
      </c>
      <c r="N1" s="4" t="s">
        <v>223</v>
      </c>
      <c r="O1" s="4" t="s">
        <v>221</v>
      </c>
      <c r="P1" s="4" t="s">
        <v>222</v>
      </c>
      <c r="Q1" s="5" t="s">
        <v>10</v>
      </c>
      <c r="R1" s="5" t="s">
        <v>11</v>
      </c>
      <c r="S1" s="5" t="s">
        <v>12</v>
      </c>
      <c r="T1" s="5" t="s">
        <v>13</v>
      </c>
      <c r="U1" s="5" t="s">
        <v>14</v>
      </c>
      <c r="V1" s="55" t="s">
        <v>15</v>
      </c>
      <c r="W1" s="6" t="s">
        <v>16</v>
      </c>
    </row>
    <row r="2" spans="1:24" x14ac:dyDescent="0.2">
      <c r="A2" s="8" t="s">
        <v>17</v>
      </c>
      <c r="B2" s="9" t="b">
        <v>0</v>
      </c>
      <c r="C2" s="10" t="s">
        <v>18</v>
      </c>
      <c r="D2" s="11">
        <v>2007</v>
      </c>
      <c r="E2" s="12">
        <v>0.5</v>
      </c>
      <c r="F2" s="11">
        <f>D2-W2</f>
        <v>2003.7469327597771</v>
      </c>
      <c r="G2" t="s">
        <v>19</v>
      </c>
      <c r="H2" s="13">
        <v>-16.442278999999999</v>
      </c>
      <c r="I2" s="13">
        <v>145.40768800000001</v>
      </c>
      <c r="J2">
        <v>1</v>
      </c>
      <c r="K2" t="s">
        <v>20</v>
      </c>
      <c r="L2" t="s">
        <v>21</v>
      </c>
      <c r="M2" t="s">
        <v>231</v>
      </c>
      <c r="N2" t="s">
        <v>241</v>
      </c>
      <c r="O2" t="s">
        <v>217</v>
      </c>
      <c r="P2" t="s">
        <v>220</v>
      </c>
      <c r="Q2" s="14"/>
      <c r="R2" s="14">
        <v>588</v>
      </c>
      <c r="S2" s="14">
        <v>25</v>
      </c>
      <c r="T2" s="14">
        <v>24</v>
      </c>
      <c r="U2" s="11">
        <f>4.89*R2-75</f>
        <v>2800.3199999999997</v>
      </c>
      <c r="V2" s="54" t="s">
        <v>22</v>
      </c>
      <c r="W2" s="16">
        <f>(-LN(1-(U2/4090))/0.31)-0.47</f>
        <v>3.2530672402229159</v>
      </c>
    </row>
    <row r="3" spans="1:24" x14ac:dyDescent="0.2">
      <c r="A3" s="8" t="s">
        <v>23</v>
      </c>
      <c r="B3" s="9" t="b">
        <v>0</v>
      </c>
      <c r="C3" s="10" t="s">
        <v>24</v>
      </c>
      <c r="D3" s="11">
        <v>2017</v>
      </c>
      <c r="E3" s="12">
        <f>1/12</f>
        <v>8.3333333333333329E-2</v>
      </c>
      <c r="F3" s="11">
        <f>D3-W3</f>
        <v>2015.36566035741</v>
      </c>
      <c r="G3" t="s">
        <v>25</v>
      </c>
      <c r="H3" s="13">
        <v>-17.541360999999998</v>
      </c>
      <c r="I3" s="13">
        <v>140.91283799999999</v>
      </c>
      <c r="J3">
        <v>1</v>
      </c>
      <c r="K3" t="s">
        <v>226</v>
      </c>
      <c r="L3" s="17" t="s">
        <v>227</v>
      </c>
      <c r="M3" s="17" t="s">
        <v>227</v>
      </c>
      <c r="N3" t="s">
        <v>236</v>
      </c>
      <c r="O3" t="s">
        <v>218</v>
      </c>
      <c r="P3" t="s">
        <v>220</v>
      </c>
      <c r="Q3" s="14">
        <v>342</v>
      </c>
      <c r="R3" s="14">
        <v>330</v>
      </c>
      <c r="S3" s="14">
        <v>20</v>
      </c>
      <c r="T3" s="14">
        <v>21</v>
      </c>
      <c r="U3" s="11">
        <f>R3/0.23</f>
        <v>1434.782608695652</v>
      </c>
      <c r="V3" s="54" t="s">
        <v>28</v>
      </c>
      <c r="W3" s="16">
        <f>(-LN(1-(U3/6380))-0.124)/0.08</f>
        <v>1.6343396425899326</v>
      </c>
    </row>
    <row r="4" spans="1:24" ht="17" x14ac:dyDescent="0.2">
      <c r="A4" s="8" t="s">
        <v>29</v>
      </c>
      <c r="B4" s="9" t="b">
        <v>1</v>
      </c>
      <c r="C4" s="18" t="s">
        <v>30</v>
      </c>
      <c r="D4" s="11">
        <v>2000</v>
      </c>
      <c r="E4" s="12">
        <v>15</v>
      </c>
      <c r="F4" s="11">
        <f>D4-W4</f>
        <v>1997.2263403531274</v>
      </c>
      <c r="G4" s="19" t="s">
        <v>31</v>
      </c>
      <c r="H4" s="20">
        <v>-23.091157299999999</v>
      </c>
      <c r="I4" s="20">
        <v>150.9182935</v>
      </c>
      <c r="J4">
        <v>250</v>
      </c>
      <c r="K4" t="s">
        <v>32</v>
      </c>
      <c r="L4" t="s">
        <v>33</v>
      </c>
      <c r="M4" t="s">
        <v>33</v>
      </c>
      <c r="N4" t="s">
        <v>240</v>
      </c>
      <c r="O4" t="s">
        <v>217</v>
      </c>
      <c r="P4" t="s">
        <v>219</v>
      </c>
      <c r="Q4" s="21">
        <v>515</v>
      </c>
      <c r="R4" s="21">
        <v>499</v>
      </c>
      <c r="S4" s="21">
        <v>29</v>
      </c>
      <c r="T4" s="21">
        <v>27</v>
      </c>
      <c r="U4" s="11">
        <f>3.843*R4+98</f>
        <v>2015.6569999999999</v>
      </c>
      <c r="V4" s="54" t="s">
        <v>28</v>
      </c>
      <c r="W4" s="16">
        <f>(-LN(1-(U4/5400))-0.1344)/0.12</f>
        <v>2.7736596468725079</v>
      </c>
    </row>
    <row r="5" spans="1:24" ht="17" x14ac:dyDescent="0.2">
      <c r="A5" s="8" t="s">
        <v>34</v>
      </c>
      <c r="B5" s="9" t="b">
        <v>0</v>
      </c>
      <c r="C5" s="10" t="s">
        <v>18</v>
      </c>
      <c r="D5" s="11">
        <v>2000</v>
      </c>
      <c r="E5" s="12">
        <v>15</v>
      </c>
      <c r="F5" s="11">
        <f>D5-W5</f>
        <v>1999.0147990488729</v>
      </c>
      <c r="G5" s="19" t="s">
        <v>31</v>
      </c>
      <c r="H5" s="20">
        <v>-22.505429500000002</v>
      </c>
      <c r="I5" s="20">
        <v>150.7900104</v>
      </c>
      <c r="J5">
        <v>250</v>
      </c>
      <c r="K5" t="s">
        <v>32</v>
      </c>
      <c r="L5" t="s">
        <v>33</v>
      </c>
      <c r="M5" t="s">
        <v>33</v>
      </c>
      <c r="N5" t="s">
        <v>240</v>
      </c>
      <c r="O5" t="s">
        <v>217</v>
      </c>
      <c r="P5" t="s">
        <v>219</v>
      </c>
      <c r="Q5" s="21">
        <v>602</v>
      </c>
      <c r="R5" s="21">
        <v>297</v>
      </c>
      <c r="S5" s="21">
        <v>18</v>
      </c>
      <c r="T5" s="21">
        <v>21</v>
      </c>
      <c r="U5" s="11">
        <f>R5/0.2</f>
        <v>1485</v>
      </c>
      <c r="V5" s="54" t="s">
        <v>35</v>
      </c>
      <c r="W5" s="16">
        <f>(-LN(1-(U5/4090))/0.31)-0.47</f>
        <v>0.98520095112703299</v>
      </c>
      <c r="X5" s="22"/>
    </row>
    <row r="6" spans="1:24" ht="17" x14ac:dyDescent="0.2">
      <c r="A6" s="8" t="s">
        <v>36</v>
      </c>
      <c r="B6" s="9" t="b">
        <v>0</v>
      </c>
      <c r="C6" s="10" t="s">
        <v>18</v>
      </c>
      <c r="D6" s="11">
        <v>2000</v>
      </c>
      <c r="E6" s="12">
        <v>15</v>
      </c>
      <c r="F6" s="11">
        <f>D6-W6</f>
        <v>1995.992493830757</v>
      </c>
      <c r="G6" s="19" t="s">
        <v>31</v>
      </c>
      <c r="H6" s="20">
        <v>-21.474929899999999</v>
      </c>
      <c r="I6" s="20">
        <v>149.92714649999999</v>
      </c>
      <c r="J6" s="23">
        <v>250</v>
      </c>
      <c r="K6" t="s">
        <v>32</v>
      </c>
      <c r="L6" t="s">
        <v>33</v>
      </c>
      <c r="M6" t="s">
        <v>33</v>
      </c>
      <c r="N6" t="s">
        <v>240</v>
      </c>
      <c r="O6" t="s">
        <v>217</v>
      </c>
      <c r="P6" t="s">
        <v>219</v>
      </c>
      <c r="Q6" s="21">
        <v>745</v>
      </c>
      <c r="R6" s="21">
        <v>643</v>
      </c>
      <c r="S6" s="21">
        <v>24</v>
      </c>
      <c r="T6" s="21">
        <v>24</v>
      </c>
      <c r="U6" s="11">
        <f>4.89*R6-75</f>
        <v>3069.27</v>
      </c>
      <c r="V6" s="54" t="s">
        <v>22</v>
      </c>
      <c r="W6" s="16">
        <f>(-LN(1-(U6/4090))/0.31)-0.47</f>
        <v>4.0075061692429514</v>
      </c>
      <c r="X6" s="24"/>
    </row>
    <row r="7" spans="1:24" ht="17" x14ac:dyDescent="0.2">
      <c r="A7" s="8" t="s">
        <v>37</v>
      </c>
      <c r="B7" s="9" t="b">
        <v>0</v>
      </c>
      <c r="C7" s="10" t="s">
        <v>18</v>
      </c>
      <c r="D7" s="11">
        <v>2000</v>
      </c>
      <c r="E7" s="12">
        <v>15</v>
      </c>
      <c r="F7" s="11">
        <f>D7-W7</f>
        <v>1996.3017181741959</v>
      </c>
      <c r="G7" s="19" t="s">
        <v>31</v>
      </c>
      <c r="H7" s="20">
        <v>-21.9576688</v>
      </c>
      <c r="I7" s="20">
        <v>149.88556800000001</v>
      </c>
      <c r="J7" s="23">
        <v>250</v>
      </c>
      <c r="K7" t="s">
        <v>32</v>
      </c>
      <c r="L7" t="s">
        <v>33</v>
      </c>
      <c r="M7" t="s">
        <v>33</v>
      </c>
      <c r="N7" t="s">
        <v>240</v>
      </c>
      <c r="O7" t="s">
        <v>217</v>
      </c>
      <c r="P7" t="s">
        <v>219</v>
      </c>
      <c r="Q7" s="21">
        <v>725</v>
      </c>
      <c r="R7" s="21">
        <v>622</v>
      </c>
      <c r="S7" s="21">
        <v>24</v>
      </c>
      <c r="T7" s="21">
        <v>21</v>
      </c>
      <c r="U7" s="11">
        <f>4.89*R7-75</f>
        <v>2966.58</v>
      </c>
      <c r="V7" s="54" t="s">
        <v>22</v>
      </c>
      <c r="W7" s="16">
        <f>(-LN(1-(U7/4090))/0.31)-0.47</f>
        <v>3.6982818258040311</v>
      </c>
      <c r="X7" s="24"/>
    </row>
    <row r="8" spans="1:24" ht="17" x14ac:dyDescent="0.2">
      <c r="A8" s="8" t="s">
        <v>38</v>
      </c>
      <c r="B8" s="9" t="b">
        <v>0</v>
      </c>
      <c r="C8" s="10" t="s">
        <v>18</v>
      </c>
      <c r="D8" s="11">
        <v>2000</v>
      </c>
      <c r="E8" s="12">
        <v>15</v>
      </c>
      <c r="F8" s="11">
        <f>D8-W8</f>
        <v>1997.2446503554911</v>
      </c>
      <c r="G8" s="19" t="s">
        <v>31</v>
      </c>
      <c r="H8" s="25">
        <v>-22.0912279</v>
      </c>
      <c r="I8" s="25">
        <v>149.596318</v>
      </c>
      <c r="J8" s="23">
        <v>250</v>
      </c>
      <c r="K8" t="s">
        <v>32</v>
      </c>
      <c r="L8" t="s">
        <v>33</v>
      </c>
      <c r="M8" t="s">
        <v>33</v>
      </c>
      <c r="N8" t="s">
        <v>240</v>
      </c>
      <c r="O8" t="s">
        <v>217</v>
      </c>
      <c r="P8" t="s">
        <v>219</v>
      </c>
      <c r="Q8" s="21">
        <v>653</v>
      </c>
      <c r="R8" s="21">
        <v>544</v>
      </c>
      <c r="S8" s="21">
        <v>23</v>
      </c>
      <c r="T8" s="21">
        <v>21</v>
      </c>
      <c r="U8" s="11">
        <f>4.89*R8-75</f>
        <v>2585.16</v>
      </c>
      <c r="V8" s="54" t="s">
        <v>22</v>
      </c>
      <c r="W8" s="16">
        <f>(-LN(1-(U8/4090))/0.31)-0.47</f>
        <v>2.7553496445089749</v>
      </c>
      <c r="X8" s="26"/>
    </row>
    <row r="9" spans="1:24" s="22" customFormat="1" ht="17" x14ac:dyDescent="0.2">
      <c r="A9" s="8" t="s">
        <v>39</v>
      </c>
      <c r="B9" s="9" t="b">
        <v>0</v>
      </c>
      <c r="C9" s="10" t="s">
        <v>18</v>
      </c>
      <c r="D9" s="11">
        <v>2000</v>
      </c>
      <c r="E9" s="12">
        <v>15</v>
      </c>
      <c r="F9" s="11">
        <f>D9-W9</f>
        <v>1996.7954898262353</v>
      </c>
      <c r="G9" s="19" t="s">
        <v>31</v>
      </c>
      <c r="H9" s="20">
        <v>-22.6154844</v>
      </c>
      <c r="I9" s="20">
        <v>150.83697230000001</v>
      </c>
      <c r="J9" s="23">
        <v>250</v>
      </c>
      <c r="K9" t="s">
        <v>32</v>
      </c>
      <c r="L9" t="s">
        <v>33</v>
      </c>
      <c r="M9" t="s">
        <v>33</v>
      </c>
      <c r="N9" t="s">
        <v>240</v>
      </c>
      <c r="O9" t="s">
        <v>217</v>
      </c>
      <c r="P9" t="s">
        <v>219</v>
      </c>
      <c r="Q9" s="21">
        <v>669</v>
      </c>
      <c r="R9" s="21">
        <v>584</v>
      </c>
      <c r="S9" s="21">
        <v>25</v>
      </c>
      <c r="T9" s="21">
        <v>26</v>
      </c>
      <c r="U9" s="11">
        <f>4.89*R9-75</f>
        <v>2780.7599999999998</v>
      </c>
      <c r="V9" s="54" t="s">
        <v>22</v>
      </c>
      <c r="W9" s="16">
        <f>(-LN(1-(U9/4090))/0.31)-0.47</f>
        <v>3.2045101737647865</v>
      </c>
      <c r="X9"/>
    </row>
    <row r="10" spans="1:24" s="26" customFormat="1" ht="17" x14ac:dyDescent="0.2">
      <c r="A10" s="8" t="s">
        <v>40</v>
      </c>
      <c r="B10" s="9" t="b">
        <v>0</v>
      </c>
      <c r="C10" s="10" t="s">
        <v>18</v>
      </c>
      <c r="D10" s="11">
        <v>2000</v>
      </c>
      <c r="E10" s="12">
        <v>15</v>
      </c>
      <c r="F10" s="11">
        <f>D10-W10</f>
        <v>1998.4550212057216</v>
      </c>
      <c r="G10" s="19" t="s">
        <v>31</v>
      </c>
      <c r="H10" s="13">
        <v>-20.4344009</v>
      </c>
      <c r="I10" s="13">
        <v>149.1451003</v>
      </c>
      <c r="J10" s="23">
        <v>250</v>
      </c>
      <c r="K10" t="s">
        <v>32</v>
      </c>
      <c r="L10" t="s">
        <v>33</v>
      </c>
      <c r="M10" t="s">
        <v>33</v>
      </c>
      <c r="N10" t="s">
        <v>240</v>
      </c>
      <c r="O10" t="s">
        <v>217</v>
      </c>
      <c r="P10" t="s">
        <v>219</v>
      </c>
      <c r="Q10" s="27">
        <v>471</v>
      </c>
      <c r="R10" s="21">
        <v>380</v>
      </c>
      <c r="S10" s="21">
        <v>20</v>
      </c>
      <c r="T10" s="21">
        <v>20</v>
      </c>
      <c r="U10" s="11">
        <f>R10/0.2</f>
        <v>1900</v>
      </c>
      <c r="V10" s="54" t="s">
        <v>28</v>
      </c>
      <c r="W10" s="16">
        <f>(-LN(1-(U10/4090))/0.31)-0.47</f>
        <v>1.5449787942783904</v>
      </c>
      <c r="X10"/>
    </row>
    <row r="11" spans="1:24" ht="17" x14ac:dyDescent="0.2">
      <c r="A11" s="8" t="s">
        <v>41</v>
      </c>
      <c r="B11" s="9" t="b">
        <v>0</v>
      </c>
      <c r="C11" s="10" t="s">
        <v>18</v>
      </c>
      <c r="D11" s="11">
        <v>2000</v>
      </c>
      <c r="E11" s="12">
        <v>15</v>
      </c>
      <c r="F11" s="11">
        <f>D11-W11</f>
        <v>1996.5967157327343</v>
      </c>
      <c r="G11" s="19" t="s">
        <v>31</v>
      </c>
      <c r="H11" s="20">
        <v>-19.8857094</v>
      </c>
      <c r="I11" s="20">
        <v>147.93564559999999</v>
      </c>
      <c r="J11">
        <v>250</v>
      </c>
      <c r="K11" t="s">
        <v>32</v>
      </c>
      <c r="L11" t="s">
        <v>33</v>
      </c>
      <c r="M11" t="s">
        <v>33</v>
      </c>
      <c r="N11" t="s">
        <v>240</v>
      </c>
      <c r="O11" t="s">
        <v>217</v>
      </c>
      <c r="P11" t="s">
        <v>224</v>
      </c>
      <c r="Q11" s="21">
        <v>727</v>
      </c>
      <c r="R11" s="21">
        <v>600</v>
      </c>
      <c r="S11" s="14">
        <v>22</v>
      </c>
      <c r="T11" s="14">
        <v>23</v>
      </c>
      <c r="U11" s="11">
        <f>4.89*R11-75</f>
        <v>2859</v>
      </c>
      <c r="V11" s="54" t="s">
        <v>22</v>
      </c>
      <c r="W11" s="16">
        <f>(-LN(1-(U11/4090))/0.31)-0.47</f>
        <v>3.4032842672657875</v>
      </c>
    </row>
    <row r="12" spans="1:24" ht="17" x14ac:dyDescent="0.2">
      <c r="A12" s="8" t="s">
        <v>42</v>
      </c>
      <c r="B12" s="9" t="b">
        <v>0</v>
      </c>
      <c r="C12" s="10" t="s">
        <v>18</v>
      </c>
      <c r="D12" s="11">
        <v>2000</v>
      </c>
      <c r="E12" s="12">
        <v>15</v>
      </c>
      <c r="F12" s="11">
        <f>D12-W12</f>
        <v>1999.4160006461193</v>
      </c>
      <c r="G12" s="19" t="s">
        <v>31</v>
      </c>
      <c r="H12" s="20">
        <v>-22.534202700000002</v>
      </c>
      <c r="I12" s="20">
        <v>150.73175370000001</v>
      </c>
      <c r="J12">
        <v>250</v>
      </c>
      <c r="K12" t="s">
        <v>32</v>
      </c>
      <c r="L12" t="s">
        <v>33</v>
      </c>
      <c r="M12" t="s">
        <v>33</v>
      </c>
      <c r="N12" t="s">
        <v>240</v>
      </c>
      <c r="O12" t="s">
        <v>217</v>
      </c>
      <c r="P12" t="s">
        <v>219</v>
      </c>
      <c r="Q12" s="21">
        <v>296</v>
      </c>
      <c r="R12" s="21">
        <v>228</v>
      </c>
      <c r="S12" s="21">
        <v>22</v>
      </c>
      <c r="T12" s="21">
        <v>22</v>
      </c>
      <c r="U12" s="11">
        <f>R12/0.2</f>
        <v>1140</v>
      </c>
      <c r="V12" s="54" t="s">
        <v>35</v>
      </c>
      <c r="W12" s="16">
        <f>(-LN(1-(U12/4090))/0.31)-0.47</f>
        <v>0.58399935388058721</v>
      </c>
    </row>
    <row r="13" spans="1:24" s="26" customFormat="1" ht="17" x14ac:dyDescent="0.2">
      <c r="A13" s="8" t="s">
        <v>43</v>
      </c>
      <c r="B13" s="9" t="b">
        <v>0</v>
      </c>
      <c r="C13" s="10" t="s">
        <v>18</v>
      </c>
      <c r="D13" s="11">
        <v>2000</v>
      </c>
      <c r="E13" s="12">
        <v>15</v>
      </c>
      <c r="F13" s="11">
        <f>D13-W13</f>
        <v>1999.321688322942</v>
      </c>
      <c r="G13" s="19" t="s">
        <v>31</v>
      </c>
      <c r="H13" s="20">
        <v>-21.1238162</v>
      </c>
      <c r="I13" s="20">
        <v>149.28257049999999</v>
      </c>
      <c r="J13" s="23">
        <v>250</v>
      </c>
      <c r="K13" t="s">
        <v>32</v>
      </c>
      <c r="L13" t="s">
        <v>33</v>
      </c>
      <c r="M13" t="s">
        <v>33</v>
      </c>
      <c r="N13" t="s">
        <v>240</v>
      </c>
      <c r="O13" t="s">
        <v>217</v>
      </c>
      <c r="P13" t="s">
        <v>219</v>
      </c>
      <c r="Q13" s="21">
        <v>300</v>
      </c>
      <c r="R13" s="21">
        <v>245</v>
      </c>
      <c r="S13" s="21">
        <v>21</v>
      </c>
      <c r="T13" s="21">
        <v>20</v>
      </c>
      <c r="U13" s="11">
        <f>R13/0.2</f>
        <v>1225</v>
      </c>
      <c r="V13" s="54" t="s">
        <v>35</v>
      </c>
      <c r="W13" s="16">
        <f>(-LN(1-(U13/4090))/0.31)-0.47</f>
        <v>0.67831167705808904</v>
      </c>
      <c r="X13"/>
    </row>
    <row r="14" spans="1:24" ht="17" x14ac:dyDescent="0.2">
      <c r="A14" s="28" t="s">
        <v>44</v>
      </c>
      <c r="B14" s="9" t="b">
        <v>0</v>
      </c>
      <c r="C14" s="10" t="s">
        <v>18</v>
      </c>
      <c r="D14" s="11">
        <v>2000</v>
      </c>
      <c r="E14" s="12">
        <v>15</v>
      </c>
      <c r="F14" s="11">
        <f>D14-W14</f>
        <v>1997.6848977750949</v>
      </c>
      <c r="G14" s="19" t="s">
        <v>31</v>
      </c>
      <c r="H14" s="20">
        <v>-21.8925947</v>
      </c>
      <c r="I14" s="20">
        <v>149.9305224</v>
      </c>
      <c r="J14" s="23">
        <v>250</v>
      </c>
      <c r="K14" t="s">
        <v>32</v>
      </c>
      <c r="L14" t="s">
        <v>33</v>
      </c>
      <c r="M14" t="s">
        <v>33</v>
      </c>
      <c r="N14" t="s">
        <v>240</v>
      </c>
      <c r="O14" t="s">
        <v>217</v>
      </c>
      <c r="P14" t="s">
        <v>219</v>
      </c>
      <c r="Q14" s="21">
        <v>608</v>
      </c>
      <c r="R14" s="21">
        <v>499</v>
      </c>
      <c r="S14" s="21">
        <v>21</v>
      </c>
      <c r="T14" s="21">
        <v>22</v>
      </c>
      <c r="U14" s="11">
        <f>4.89*R14-75</f>
        <v>2365.1099999999997</v>
      </c>
      <c r="V14" s="54" t="s">
        <v>22</v>
      </c>
      <c r="W14" s="16">
        <f>(-LN(1-(U14/4090))/0.31)-0.47</f>
        <v>2.3151022249051669</v>
      </c>
    </row>
    <row r="15" spans="1:24" s="26" customFormat="1" ht="17" x14ac:dyDescent="0.2">
      <c r="A15" s="29" t="s">
        <v>45</v>
      </c>
      <c r="B15" s="9" t="b">
        <v>0</v>
      </c>
      <c r="C15" s="10" t="s">
        <v>18</v>
      </c>
      <c r="D15" s="11">
        <v>2000</v>
      </c>
      <c r="E15" s="12">
        <v>15</v>
      </c>
      <c r="F15" s="11">
        <f>D15-W15</f>
        <v>1998.7904718945088</v>
      </c>
      <c r="G15" s="19" t="s">
        <v>31</v>
      </c>
      <c r="H15" s="20">
        <v>-20.049790900000001</v>
      </c>
      <c r="I15" s="20">
        <v>148.75391730000001</v>
      </c>
      <c r="J15" s="23">
        <v>250</v>
      </c>
      <c r="K15" t="s">
        <v>32</v>
      </c>
      <c r="L15" t="s">
        <v>33</v>
      </c>
      <c r="M15" t="s">
        <v>33</v>
      </c>
      <c r="N15" t="s">
        <v>240</v>
      </c>
      <c r="O15" t="s">
        <v>217</v>
      </c>
      <c r="P15" t="s">
        <v>219</v>
      </c>
      <c r="Q15" s="21">
        <v>414</v>
      </c>
      <c r="R15" s="21">
        <v>332</v>
      </c>
      <c r="S15" s="21">
        <v>23</v>
      </c>
      <c r="T15" s="21">
        <v>23</v>
      </c>
      <c r="U15" s="11">
        <f>R15/0.2</f>
        <v>1660</v>
      </c>
      <c r="V15" s="54" t="s">
        <v>28</v>
      </c>
      <c r="W15" s="16">
        <f>(-LN(1-(U15/4090))/0.31)-0.47</f>
        <v>1.2095281054911395</v>
      </c>
      <c r="X15"/>
    </row>
    <row r="16" spans="1:24" ht="17" x14ac:dyDescent="0.2">
      <c r="A16" s="29" t="s">
        <v>46</v>
      </c>
      <c r="B16" s="9" t="b">
        <v>0</v>
      </c>
      <c r="C16" s="10" t="s">
        <v>18</v>
      </c>
      <c r="D16" s="11">
        <v>2000</v>
      </c>
      <c r="E16" s="12">
        <v>15</v>
      </c>
      <c r="F16" s="11">
        <f>D16-W16</f>
        <v>1998.3143181517262</v>
      </c>
      <c r="G16" s="19" t="s">
        <v>31</v>
      </c>
      <c r="H16" s="20">
        <v>-21.399849400000001</v>
      </c>
      <c r="I16" s="20">
        <v>149.8997727</v>
      </c>
      <c r="J16" s="23">
        <v>250</v>
      </c>
      <c r="K16" t="s">
        <v>32</v>
      </c>
      <c r="L16" t="s">
        <v>33</v>
      </c>
      <c r="M16" t="s">
        <v>33</v>
      </c>
      <c r="N16" t="s">
        <v>240</v>
      </c>
      <c r="O16" t="s">
        <v>217</v>
      </c>
      <c r="P16" t="s">
        <v>219</v>
      </c>
      <c r="Q16" s="21">
        <v>578</v>
      </c>
      <c r="R16" s="21">
        <v>423</v>
      </c>
      <c r="S16" s="27">
        <v>20</v>
      </c>
      <c r="T16" s="27">
        <v>19</v>
      </c>
      <c r="U16" s="11">
        <f>4.89*R16-75</f>
        <v>1993.4699999999998</v>
      </c>
      <c r="V16" s="54" t="s">
        <v>28</v>
      </c>
      <c r="W16" s="16">
        <f>(-LN(1-(U16/4090))/0.31)-0.47</f>
        <v>1.6856818482737175</v>
      </c>
    </row>
    <row r="17" spans="1:24" ht="17" x14ac:dyDescent="0.2">
      <c r="A17" s="28" t="s">
        <v>47</v>
      </c>
      <c r="B17" s="9" t="b">
        <v>0</v>
      </c>
      <c r="C17" s="10" t="s">
        <v>18</v>
      </c>
      <c r="D17" s="11">
        <v>2000</v>
      </c>
      <c r="E17" s="12">
        <v>15</v>
      </c>
      <c r="F17" s="11">
        <f>D17-W17</f>
        <v>1996.4925384592898</v>
      </c>
      <c r="G17" s="19" t="s">
        <v>31</v>
      </c>
      <c r="H17" s="20">
        <v>-21.064018600000001</v>
      </c>
      <c r="I17" s="20">
        <v>149.63902419999999</v>
      </c>
      <c r="J17" s="23">
        <v>250</v>
      </c>
      <c r="K17" t="s">
        <v>32</v>
      </c>
      <c r="L17" t="s">
        <v>33</v>
      </c>
      <c r="M17" t="s">
        <v>33</v>
      </c>
      <c r="N17" t="s">
        <v>240</v>
      </c>
      <c r="O17" t="s">
        <v>217</v>
      </c>
      <c r="P17" t="s">
        <v>219</v>
      </c>
      <c r="Q17" s="21"/>
      <c r="R17" s="21">
        <v>608</v>
      </c>
      <c r="S17" s="21">
        <v>22</v>
      </c>
      <c r="T17" s="21">
        <v>22</v>
      </c>
      <c r="U17" s="11">
        <f>4.89*R17-75</f>
        <v>2898.12</v>
      </c>
      <c r="V17" s="54" t="s">
        <v>22</v>
      </c>
      <c r="W17" s="16">
        <f>(-LN(1-(U17/4090))/0.31)-0.47</f>
        <v>3.5074615407102305</v>
      </c>
      <c r="X17" s="26"/>
    </row>
    <row r="18" spans="1:24" ht="17" x14ac:dyDescent="0.2">
      <c r="A18" s="8" t="s">
        <v>48</v>
      </c>
      <c r="B18" s="9" t="b">
        <v>0</v>
      </c>
      <c r="C18" s="10" t="s">
        <v>18</v>
      </c>
      <c r="D18" s="11">
        <v>2000</v>
      </c>
      <c r="E18" s="12">
        <v>15</v>
      </c>
      <c r="F18" s="11">
        <f>D18-W18</f>
        <v>1999.4269170912298</v>
      </c>
      <c r="G18" s="19" t="s">
        <v>31</v>
      </c>
      <c r="H18" s="20">
        <v>-22.184558800000001</v>
      </c>
      <c r="I18" s="20">
        <v>149.8415923</v>
      </c>
      <c r="J18">
        <v>250</v>
      </c>
      <c r="K18" t="s">
        <v>32</v>
      </c>
      <c r="L18" t="s">
        <v>33</v>
      </c>
      <c r="M18" t="s">
        <v>33</v>
      </c>
      <c r="N18" t="s">
        <v>240</v>
      </c>
      <c r="O18" t="s">
        <v>217</v>
      </c>
      <c r="P18" t="s">
        <v>219</v>
      </c>
      <c r="Q18" s="21">
        <v>245</v>
      </c>
      <c r="R18" s="21">
        <v>226</v>
      </c>
      <c r="S18" s="21">
        <v>22</v>
      </c>
      <c r="T18" s="21">
        <v>21</v>
      </c>
      <c r="U18" s="11">
        <f>R18/0.2</f>
        <v>1130</v>
      </c>
      <c r="V18" s="54" t="s">
        <v>35</v>
      </c>
      <c r="W18" s="16">
        <f>(-LN(1-(U18/4090))/0.31)-0.47</f>
        <v>0.57308290877013346</v>
      </c>
    </row>
    <row r="19" spans="1:24" ht="17" x14ac:dyDescent="0.2">
      <c r="A19" s="28" t="s">
        <v>49</v>
      </c>
      <c r="B19" s="9" t="b">
        <v>0</v>
      </c>
      <c r="C19" s="10" t="s">
        <v>18</v>
      </c>
      <c r="D19" s="11">
        <v>2000</v>
      </c>
      <c r="E19" s="12">
        <v>15</v>
      </c>
      <c r="F19" s="11">
        <f>D19-W19</f>
        <v>1997.2341509811761</v>
      </c>
      <c r="G19" s="19" t="s">
        <v>31</v>
      </c>
      <c r="H19" s="25">
        <v>-21.109627199999998</v>
      </c>
      <c r="I19" s="25">
        <v>149.3987741</v>
      </c>
      <c r="J19" s="23">
        <v>250</v>
      </c>
      <c r="K19" t="s">
        <v>32</v>
      </c>
      <c r="L19" t="s">
        <v>33</v>
      </c>
      <c r="M19" t="s">
        <v>33</v>
      </c>
      <c r="N19" t="s">
        <v>240</v>
      </c>
      <c r="O19" t="s">
        <v>217</v>
      </c>
      <c r="P19" t="s">
        <v>219</v>
      </c>
      <c r="Q19" s="21">
        <v>685</v>
      </c>
      <c r="R19" s="21">
        <v>545</v>
      </c>
      <c r="S19" s="21">
        <v>25</v>
      </c>
      <c r="T19" s="21">
        <v>22</v>
      </c>
      <c r="U19" s="11">
        <f>4.89*R19-75</f>
        <v>2590.0499999999997</v>
      </c>
      <c r="V19" s="54" t="s">
        <v>22</v>
      </c>
      <c r="W19" s="16">
        <f>(-LN(1-(U19/4090))/0.31)-0.47</f>
        <v>2.7658490188240226</v>
      </c>
    </row>
    <row r="20" spans="1:24" ht="17" x14ac:dyDescent="0.2">
      <c r="A20" s="8" t="s">
        <v>50</v>
      </c>
      <c r="B20" s="9" t="b">
        <v>1</v>
      </c>
      <c r="C20" s="10" t="s">
        <v>18</v>
      </c>
      <c r="D20" s="11">
        <v>2000</v>
      </c>
      <c r="E20" s="12">
        <v>15</v>
      </c>
      <c r="F20" s="11">
        <f>D20-W20</f>
        <v>1998.6060899143799</v>
      </c>
      <c r="G20" s="19" t="s">
        <v>31</v>
      </c>
      <c r="H20" s="20">
        <v>-20.021350000000002</v>
      </c>
      <c r="I20" s="20">
        <v>148.39253339999999</v>
      </c>
      <c r="J20">
        <v>250</v>
      </c>
      <c r="K20" t="s">
        <v>32</v>
      </c>
      <c r="L20" t="s">
        <v>33</v>
      </c>
      <c r="M20" t="s">
        <v>33</v>
      </c>
      <c r="N20" t="s">
        <v>240</v>
      </c>
      <c r="O20" t="s">
        <v>217</v>
      </c>
      <c r="P20" t="s">
        <v>219</v>
      </c>
      <c r="Q20" s="14">
        <v>408</v>
      </c>
      <c r="R20" s="14">
        <v>359</v>
      </c>
      <c r="S20" s="21">
        <v>22</v>
      </c>
      <c r="T20" s="21">
        <v>24</v>
      </c>
      <c r="U20" s="11">
        <f>R20/0.2</f>
        <v>1795</v>
      </c>
      <c r="V20" s="54" t="s">
        <v>28</v>
      </c>
      <c r="W20" s="16">
        <f>(-LN(1-(U20/4090))/0.31)-0.47</f>
        <v>1.3939100856200062</v>
      </c>
    </row>
    <row r="21" spans="1:24" ht="17" x14ac:dyDescent="0.2">
      <c r="A21" s="8" t="s">
        <v>51</v>
      </c>
      <c r="B21" s="9" t="b">
        <v>0</v>
      </c>
      <c r="C21" s="10" t="s">
        <v>18</v>
      </c>
      <c r="D21" s="11">
        <v>2000</v>
      </c>
      <c r="E21" s="12">
        <v>15</v>
      </c>
      <c r="F21" s="11">
        <f>D21-W21</f>
        <v>1999.0700473223981</v>
      </c>
      <c r="G21" s="19" t="s">
        <v>31</v>
      </c>
      <c r="H21" s="20">
        <v>-20.5737381</v>
      </c>
      <c r="I21" s="20">
        <v>148.70657829999999</v>
      </c>
      <c r="J21" s="23">
        <v>250</v>
      </c>
      <c r="K21" t="s">
        <v>32</v>
      </c>
      <c r="L21" t="s">
        <v>33</v>
      </c>
      <c r="M21" t="s">
        <v>33</v>
      </c>
      <c r="N21" t="s">
        <v>240</v>
      </c>
      <c r="O21" t="s">
        <v>217</v>
      </c>
      <c r="P21" t="s">
        <v>219</v>
      </c>
      <c r="Q21" s="21">
        <v>346</v>
      </c>
      <c r="R21" s="21">
        <v>288</v>
      </c>
      <c r="S21" s="21">
        <v>23</v>
      </c>
      <c r="T21" s="21">
        <v>25</v>
      </c>
      <c r="U21" s="11">
        <f>R21/0.2</f>
        <v>1440</v>
      </c>
      <c r="V21" s="54" t="s">
        <v>35</v>
      </c>
      <c r="W21" s="16">
        <f>(-LN(1-(U21/4090))/0.31)-0.47</f>
        <v>0.92995267760186984</v>
      </c>
    </row>
    <row r="22" spans="1:24" ht="17" x14ac:dyDescent="0.2">
      <c r="A22" s="28" t="s">
        <v>52</v>
      </c>
      <c r="B22" s="9" t="b">
        <v>0</v>
      </c>
      <c r="C22" s="10" t="s">
        <v>18</v>
      </c>
      <c r="D22" s="11">
        <v>2000</v>
      </c>
      <c r="E22" s="12">
        <v>15</v>
      </c>
      <c r="F22" s="11">
        <f>D22-W22</f>
        <v>1996.6475692933466</v>
      </c>
      <c r="G22" s="19" t="s">
        <v>31</v>
      </c>
      <c r="H22" s="20">
        <v>-20.5486726</v>
      </c>
      <c r="I22" s="20">
        <v>148.9456734</v>
      </c>
      <c r="J22" s="23">
        <v>250</v>
      </c>
      <c r="K22" t="s">
        <v>32</v>
      </c>
      <c r="L22" t="s">
        <v>33</v>
      </c>
      <c r="M22" t="s">
        <v>33</v>
      </c>
      <c r="N22" t="s">
        <v>240</v>
      </c>
      <c r="O22" t="s">
        <v>217</v>
      </c>
      <c r="P22" t="s">
        <v>219</v>
      </c>
      <c r="Q22" s="21">
        <v>713</v>
      </c>
      <c r="R22" s="21">
        <v>596</v>
      </c>
      <c r="S22" s="21">
        <v>24</v>
      </c>
      <c r="T22" s="21">
        <v>24</v>
      </c>
      <c r="U22" s="11">
        <f>4.89*R22-75</f>
        <v>2839.4399999999996</v>
      </c>
      <c r="V22" s="54" t="s">
        <v>22</v>
      </c>
      <c r="W22" s="16">
        <f>(-LN(1-(U22/4090))/0.31)-0.47</f>
        <v>3.352430706653351</v>
      </c>
    </row>
    <row r="23" spans="1:24" ht="17" x14ac:dyDescent="0.2">
      <c r="A23" s="28" t="s">
        <v>53</v>
      </c>
      <c r="B23" s="9" t="b">
        <v>0</v>
      </c>
      <c r="C23" s="10" t="s">
        <v>18</v>
      </c>
      <c r="D23" s="11">
        <v>2000</v>
      </c>
      <c r="E23" s="12">
        <v>15</v>
      </c>
      <c r="F23" s="11">
        <f>D23-W23</f>
        <v>1996.878744674302</v>
      </c>
      <c r="G23" s="19" t="s">
        <v>31</v>
      </c>
      <c r="H23" s="25">
        <v>-22.441890699999998</v>
      </c>
      <c r="I23" s="25">
        <v>149.889274</v>
      </c>
      <c r="J23" s="23">
        <v>250</v>
      </c>
      <c r="K23" t="s">
        <v>32</v>
      </c>
      <c r="L23" t="s">
        <v>33</v>
      </c>
      <c r="M23" t="s">
        <v>33</v>
      </c>
      <c r="N23" t="s">
        <v>240</v>
      </c>
      <c r="O23" t="s">
        <v>217</v>
      </c>
      <c r="P23" t="s">
        <v>219</v>
      </c>
      <c r="Q23" s="21">
        <v>673</v>
      </c>
      <c r="R23" s="21">
        <v>577</v>
      </c>
      <c r="S23" s="21">
        <v>24</v>
      </c>
      <c r="T23" s="21">
        <v>26</v>
      </c>
      <c r="U23" s="11">
        <f>4.89*R23-75</f>
        <v>2746.5299999999997</v>
      </c>
      <c r="V23" s="54" t="s">
        <v>22</v>
      </c>
      <c r="W23" s="16">
        <f>(-LN(1-(U23/4090))/0.31)-0.47</f>
        <v>3.1212553256979954</v>
      </c>
    </row>
    <row r="24" spans="1:24" ht="17" x14ac:dyDescent="0.2">
      <c r="A24" s="28" t="s">
        <v>54</v>
      </c>
      <c r="B24" s="9" t="b">
        <v>0</v>
      </c>
      <c r="C24" s="10" t="s">
        <v>18</v>
      </c>
      <c r="D24" s="11">
        <v>2000</v>
      </c>
      <c r="E24" s="12">
        <v>15</v>
      </c>
      <c r="F24" s="11">
        <f>D24-W24</f>
        <v>1996.3017181741959</v>
      </c>
      <c r="G24" s="19" t="s">
        <v>31</v>
      </c>
      <c r="H24" s="20">
        <v>-21.7255197</v>
      </c>
      <c r="I24" s="20">
        <v>150.39537770000001</v>
      </c>
      <c r="J24" s="23">
        <v>250</v>
      </c>
      <c r="K24" t="s">
        <v>32</v>
      </c>
      <c r="L24" t="s">
        <v>33</v>
      </c>
      <c r="M24" t="s">
        <v>33</v>
      </c>
      <c r="N24" t="s">
        <v>240</v>
      </c>
      <c r="O24" t="s">
        <v>217</v>
      </c>
      <c r="P24" t="s">
        <v>219</v>
      </c>
      <c r="Q24" s="21">
        <v>706</v>
      </c>
      <c r="R24" s="21">
        <v>622</v>
      </c>
      <c r="S24" s="21">
        <v>24</v>
      </c>
      <c r="T24" s="21">
        <v>23</v>
      </c>
      <c r="U24" s="11">
        <f>4.89*R24-75</f>
        <v>2966.58</v>
      </c>
      <c r="V24" s="54" t="s">
        <v>22</v>
      </c>
      <c r="W24" s="16">
        <f>(-LN(1-(U24/4090))/0.31)-0.47</f>
        <v>3.6982818258040311</v>
      </c>
    </row>
    <row r="25" spans="1:24" ht="17" x14ac:dyDescent="0.2">
      <c r="A25" s="28" t="s">
        <v>55</v>
      </c>
      <c r="B25" s="9" t="b">
        <v>0</v>
      </c>
      <c r="C25" s="10" t="s">
        <v>18</v>
      </c>
      <c r="D25" s="11">
        <v>2000</v>
      </c>
      <c r="E25" s="12">
        <v>15</v>
      </c>
      <c r="F25" s="11">
        <f>D25-W25</f>
        <v>1997.0053813096863</v>
      </c>
      <c r="G25" s="19" t="s">
        <v>31</v>
      </c>
      <c r="H25" s="25">
        <v>-21.911165400000002</v>
      </c>
      <c r="I25" s="25">
        <v>150.63671790000001</v>
      </c>
      <c r="J25" s="23">
        <v>250</v>
      </c>
      <c r="K25" t="s">
        <v>32</v>
      </c>
      <c r="L25" t="s">
        <v>33</v>
      </c>
      <c r="M25" t="s">
        <v>33</v>
      </c>
      <c r="N25" t="s">
        <v>240</v>
      </c>
      <c r="O25" t="s">
        <v>217</v>
      </c>
      <c r="P25" t="s">
        <v>219</v>
      </c>
      <c r="Q25" s="21"/>
      <c r="R25" s="21">
        <v>566</v>
      </c>
      <c r="S25" s="21">
        <v>23</v>
      </c>
      <c r="T25" s="21">
        <v>23</v>
      </c>
      <c r="U25" s="11">
        <f>4.89*R25-75</f>
        <v>2692.74</v>
      </c>
      <c r="V25" s="54" t="s">
        <v>22</v>
      </c>
      <c r="W25" s="16">
        <f>(-LN(1-(U25/4090))/0.31)-0.47</f>
        <v>2.9946186903138088</v>
      </c>
    </row>
    <row r="26" spans="1:24" ht="17" x14ac:dyDescent="0.2">
      <c r="A26" s="28" t="s">
        <v>56</v>
      </c>
      <c r="B26" s="9" t="b">
        <v>0</v>
      </c>
      <c r="C26" s="10" t="s">
        <v>18</v>
      </c>
      <c r="D26" s="11">
        <v>2000</v>
      </c>
      <c r="E26" s="12">
        <v>15</v>
      </c>
      <c r="F26" s="11">
        <f>D26-W26</f>
        <v>1996.2876463005475</v>
      </c>
      <c r="G26" s="19" t="s">
        <v>31</v>
      </c>
      <c r="H26" s="20">
        <v>-20.718215099999998</v>
      </c>
      <c r="I26" s="20">
        <v>148.90240209999999</v>
      </c>
      <c r="J26" s="23">
        <v>250</v>
      </c>
      <c r="K26" t="s">
        <v>32</v>
      </c>
      <c r="L26" t="s">
        <v>33</v>
      </c>
      <c r="M26" t="s">
        <v>33</v>
      </c>
      <c r="N26" t="s">
        <v>240</v>
      </c>
      <c r="O26" t="s">
        <v>217</v>
      </c>
      <c r="P26" t="s">
        <v>219</v>
      </c>
      <c r="Q26" s="21">
        <v>733</v>
      </c>
      <c r="R26" s="21">
        <v>623</v>
      </c>
      <c r="S26" s="21">
        <v>23</v>
      </c>
      <c r="T26" s="21">
        <v>22</v>
      </c>
      <c r="U26" s="11">
        <f>4.89*R26-75</f>
        <v>2971.47</v>
      </c>
      <c r="V26" s="54" t="s">
        <v>22</v>
      </c>
      <c r="W26" s="16">
        <f>(-LN(1-(U26/4090))/0.31)-0.47</f>
        <v>3.7123536994523771</v>
      </c>
    </row>
    <row r="27" spans="1:24" s="30" customFormat="1" ht="17" x14ac:dyDescent="0.2">
      <c r="A27" s="28" t="s">
        <v>57</v>
      </c>
      <c r="B27" s="9" t="b">
        <v>0</v>
      </c>
      <c r="C27" s="10" t="s">
        <v>18</v>
      </c>
      <c r="D27" s="11">
        <v>2000</v>
      </c>
      <c r="E27" s="12">
        <v>15</v>
      </c>
      <c r="F27" s="11">
        <f>D27-W27</f>
        <v>1997.2341509811761</v>
      </c>
      <c r="G27" s="19" t="s">
        <v>31</v>
      </c>
      <c r="H27" s="20">
        <v>-21.434692600000002</v>
      </c>
      <c r="I27" s="20">
        <v>149.86935550000001</v>
      </c>
      <c r="J27" s="23">
        <v>250</v>
      </c>
      <c r="K27" t="s">
        <v>32</v>
      </c>
      <c r="L27" t="s">
        <v>33</v>
      </c>
      <c r="M27" t="s">
        <v>33</v>
      </c>
      <c r="N27" t="s">
        <v>240</v>
      </c>
      <c r="O27" t="s">
        <v>217</v>
      </c>
      <c r="P27" t="s">
        <v>219</v>
      </c>
      <c r="Q27" s="14"/>
      <c r="R27" s="21">
        <v>545</v>
      </c>
      <c r="S27" s="21">
        <v>22</v>
      </c>
      <c r="T27" s="21">
        <v>21</v>
      </c>
      <c r="U27" s="11">
        <f>4.89*R27-75</f>
        <v>2590.0499999999997</v>
      </c>
      <c r="V27" s="54" t="s">
        <v>22</v>
      </c>
      <c r="W27" s="16">
        <f>(-LN(1-(U27/4090))/0.31)-0.47</f>
        <v>2.7658490188240226</v>
      </c>
    </row>
    <row r="28" spans="1:24" ht="17" x14ac:dyDescent="0.2">
      <c r="A28" s="28" t="s">
        <v>58</v>
      </c>
      <c r="B28" s="9" t="b">
        <v>0</v>
      </c>
      <c r="C28" s="10" t="s">
        <v>18</v>
      </c>
      <c r="D28" s="11">
        <v>2000</v>
      </c>
      <c r="E28" s="12">
        <v>15</v>
      </c>
      <c r="F28" s="11">
        <f>D28-W28</f>
        <v>1996.3985390908399</v>
      </c>
      <c r="G28" s="19" t="s">
        <v>31</v>
      </c>
      <c r="H28" s="20">
        <v>-21.0733897</v>
      </c>
      <c r="I28" s="20">
        <v>149.4542155</v>
      </c>
      <c r="J28" s="23">
        <v>250</v>
      </c>
      <c r="K28" t="s">
        <v>32</v>
      </c>
      <c r="L28" t="s">
        <v>33</v>
      </c>
      <c r="M28" t="s">
        <v>33</v>
      </c>
      <c r="N28" t="s">
        <v>240</v>
      </c>
      <c r="O28" t="s">
        <v>217</v>
      </c>
      <c r="P28" t="s">
        <v>219</v>
      </c>
      <c r="Q28" s="21">
        <v>724</v>
      </c>
      <c r="R28" s="21">
        <v>615</v>
      </c>
      <c r="S28" s="21">
        <v>25</v>
      </c>
      <c r="T28" s="21">
        <v>24</v>
      </c>
      <c r="U28" s="11">
        <f>4.89*R28-75</f>
        <v>2932.35</v>
      </c>
      <c r="V28" s="54" t="s">
        <v>22</v>
      </c>
      <c r="W28" s="16">
        <f>(-LN(1-(U28/4090))/0.31)-0.47</f>
        <v>3.6014609091601288</v>
      </c>
    </row>
    <row r="29" spans="1:24" ht="17" x14ac:dyDescent="0.2">
      <c r="A29" s="28" t="s">
        <v>59</v>
      </c>
      <c r="B29" s="9" t="b">
        <v>0</v>
      </c>
      <c r="C29" s="10" t="s">
        <v>18</v>
      </c>
      <c r="D29" s="11">
        <v>2000</v>
      </c>
      <c r="E29" s="12">
        <v>15</v>
      </c>
      <c r="F29" s="11">
        <f>D29-W29</f>
        <v>1996.5709851258823</v>
      </c>
      <c r="G29" s="19" t="s">
        <v>31</v>
      </c>
      <c r="H29" s="20">
        <v>-21.490821700000001</v>
      </c>
      <c r="I29" s="20">
        <v>150.27091830000001</v>
      </c>
      <c r="J29" s="23">
        <v>250</v>
      </c>
      <c r="K29" t="s">
        <v>32</v>
      </c>
      <c r="L29" t="s">
        <v>33</v>
      </c>
      <c r="M29" t="s">
        <v>33</v>
      </c>
      <c r="N29" t="s">
        <v>240</v>
      </c>
      <c r="O29" t="s">
        <v>217</v>
      </c>
      <c r="P29" t="s">
        <v>219</v>
      </c>
      <c r="Q29" s="21">
        <v>750</v>
      </c>
      <c r="R29" s="21">
        <v>602</v>
      </c>
      <c r="S29" s="21">
        <v>21</v>
      </c>
      <c r="T29" s="21">
        <v>22</v>
      </c>
      <c r="U29" s="11">
        <f>4.89*R29-75</f>
        <v>2868.7799999999997</v>
      </c>
      <c r="V29" s="54" t="s">
        <v>22</v>
      </c>
      <c r="W29" s="16">
        <f>(-LN(1-(U29/4090))/0.31)-0.47</f>
        <v>3.429014874117617</v>
      </c>
    </row>
    <row r="30" spans="1:24" ht="17" x14ac:dyDescent="0.2">
      <c r="A30" s="29" t="s">
        <v>60</v>
      </c>
      <c r="B30" s="9" t="b">
        <v>0</v>
      </c>
      <c r="C30" s="10" t="s">
        <v>18</v>
      </c>
      <c r="D30" s="11">
        <v>2000</v>
      </c>
      <c r="E30" s="12">
        <v>15</v>
      </c>
      <c r="F30" s="11">
        <f>D30-W30</f>
        <v>1998.3591489041944</v>
      </c>
      <c r="G30" s="19" t="s">
        <v>31</v>
      </c>
      <c r="H30" s="20">
        <v>-21.554446500000001</v>
      </c>
      <c r="I30" s="20">
        <v>149.87430810000001</v>
      </c>
      <c r="J30" s="23">
        <v>250</v>
      </c>
      <c r="K30" t="s">
        <v>32</v>
      </c>
      <c r="L30" t="s">
        <v>33</v>
      </c>
      <c r="M30" t="s">
        <v>33</v>
      </c>
      <c r="N30" t="s">
        <v>240</v>
      </c>
      <c r="O30" t="s">
        <v>217</v>
      </c>
      <c r="P30" t="s">
        <v>219</v>
      </c>
      <c r="Q30" s="21">
        <v>520</v>
      </c>
      <c r="R30" s="21">
        <v>417</v>
      </c>
      <c r="S30" s="27">
        <v>20</v>
      </c>
      <c r="T30" s="27">
        <v>21</v>
      </c>
      <c r="U30" s="11">
        <f>4.89*R30-75</f>
        <v>1964.1299999999999</v>
      </c>
      <c r="V30" s="54" t="s">
        <v>28</v>
      </c>
      <c r="W30" s="16">
        <f>(-LN(1-(U30/4090))/0.31)-0.47</f>
        <v>1.6408510958056544</v>
      </c>
    </row>
    <row r="31" spans="1:24" ht="17" x14ac:dyDescent="0.2">
      <c r="A31" s="8" t="s">
        <v>61</v>
      </c>
      <c r="B31" s="9" t="b">
        <v>0</v>
      </c>
      <c r="C31" s="10" t="s">
        <v>18</v>
      </c>
      <c r="D31" s="11">
        <v>2000</v>
      </c>
      <c r="E31" s="12">
        <v>15</v>
      </c>
      <c r="F31" s="11">
        <f>D31-W31</f>
        <v>1997.6757397444214</v>
      </c>
      <c r="G31" s="19" t="s">
        <v>31</v>
      </c>
      <c r="H31" s="20">
        <v>-22.090344000000002</v>
      </c>
      <c r="I31" s="20">
        <v>149.5900245</v>
      </c>
      <c r="J31">
        <v>250</v>
      </c>
      <c r="K31" t="s">
        <v>32</v>
      </c>
      <c r="L31" t="s">
        <v>33</v>
      </c>
      <c r="M31" t="s">
        <v>33</v>
      </c>
      <c r="N31" t="s">
        <v>240</v>
      </c>
      <c r="O31" t="s">
        <v>217</v>
      </c>
      <c r="P31" t="s">
        <v>219</v>
      </c>
      <c r="Q31" s="21">
        <v>612</v>
      </c>
      <c r="R31" s="21">
        <v>500</v>
      </c>
      <c r="S31" s="14">
        <v>21</v>
      </c>
      <c r="T31" s="14">
        <v>20</v>
      </c>
      <c r="U31" s="11">
        <f>4.89*R31-75</f>
        <v>2370</v>
      </c>
      <c r="V31" s="54" t="s">
        <v>22</v>
      </c>
      <c r="W31" s="16">
        <f>(-LN(1-(U31/4090))/0.31)-0.47</f>
        <v>2.3242602555785439</v>
      </c>
    </row>
    <row r="32" spans="1:24" ht="17" x14ac:dyDescent="0.2">
      <c r="A32" s="28" t="s">
        <v>62</v>
      </c>
      <c r="B32" s="9" t="b">
        <v>0</v>
      </c>
      <c r="C32" s="10" t="s">
        <v>18</v>
      </c>
      <c r="D32" s="11">
        <v>2000</v>
      </c>
      <c r="E32" s="12">
        <v>15</v>
      </c>
      <c r="F32" s="11">
        <f>D32-W32</f>
        <v>1997.4081527307173</v>
      </c>
      <c r="G32" s="19" t="s">
        <v>31</v>
      </c>
      <c r="H32" s="25">
        <v>-22.8999332</v>
      </c>
      <c r="I32" s="25">
        <v>150.88276060000001</v>
      </c>
      <c r="J32" s="23">
        <v>250</v>
      </c>
      <c r="K32" t="s">
        <v>32</v>
      </c>
      <c r="L32" t="s">
        <v>33</v>
      </c>
      <c r="M32" t="s">
        <v>33</v>
      </c>
      <c r="N32" t="s">
        <v>240</v>
      </c>
      <c r="O32" t="s">
        <v>217</v>
      </c>
      <c r="P32" t="s">
        <v>219</v>
      </c>
      <c r="Q32" s="21">
        <v>659</v>
      </c>
      <c r="R32" s="21">
        <v>528</v>
      </c>
      <c r="S32" s="21">
        <v>23</v>
      </c>
      <c r="T32" s="21">
        <v>23</v>
      </c>
      <c r="U32" s="11">
        <f>4.89*R32-75</f>
        <v>2506.9199999999996</v>
      </c>
      <c r="V32" s="54" t="s">
        <v>22</v>
      </c>
      <c r="W32" s="16">
        <f>(-LN(1-(U32/4090))/0.31)-0.47</f>
        <v>2.5918472692826953</v>
      </c>
    </row>
    <row r="33" spans="1:24" ht="17" x14ac:dyDescent="0.2">
      <c r="A33" s="28" t="s">
        <v>63</v>
      </c>
      <c r="B33" s="9" t="b">
        <v>0</v>
      </c>
      <c r="C33" s="10" t="s">
        <v>18</v>
      </c>
      <c r="D33" s="11">
        <v>2000</v>
      </c>
      <c r="E33" s="12">
        <v>15</v>
      </c>
      <c r="F33" s="11">
        <f>D33-W33</f>
        <v>1997.2341509811761</v>
      </c>
      <c r="G33" s="19" t="s">
        <v>31</v>
      </c>
      <c r="H33" s="25">
        <v>-20.0322961</v>
      </c>
      <c r="I33" s="25">
        <v>148.86134190000001</v>
      </c>
      <c r="J33" s="23">
        <v>250</v>
      </c>
      <c r="K33" t="s">
        <v>32</v>
      </c>
      <c r="L33" t="s">
        <v>33</v>
      </c>
      <c r="M33" t="s">
        <v>33</v>
      </c>
      <c r="N33" t="s">
        <v>240</v>
      </c>
      <c r="O33" t="s">
        <v>217</v>
      </c>
      <c r="P33" t="s">
        <v>219</v>
      </c>
      <c r="Q33" s="21">
        <v>664</v>
      </c>
      <c r="R33" s="21">
        <v>545</v>
      </c>
      <c r="S33" s="21">
        <v>22</v>
      </c>
      <c r="T33" s="21">
        <v>22</v>
      </c>
      <c r="U33" s="11">
        <f>4.89*R33-75</f>
        <v>2590.0499999999997</v>
      </c>
      <c r="V33" s="54" t="s">
        <v>22</v>
      </c>
      <c r="W33" s="16">
        <f>(-LN(1-(U33/4090))/0.31)-0.47</f>
        <v>2.7658490188240226</v>
      </c>
    </row>
    <row r="34" spans="1:24" ht="17" x14ac:dyDescent="0.2">
      <c r="A34" s="29" t="s">
        <v>64</v>
      </c>
      <c r="B34" s="9" t="b">
        <v>0</v>
      </c>
      <c r="C34" s="10" t="s">
        <v>18</v>
      </c>
      <c r="D34" s="11">
        <v>2000</v>
      </c>
      <c r="E34" s="12">
        <v>15</v>
      </c>
      <c r="F34" s="11">
        <f>D34-W34</f>
        <v>1998.4033651501584</v>
      </c>
      <c r="G34" s="19" t="s">
        <v>31</v>
      </c>
      <c r="H34" s="20">
        <v>-21.035521200000002</v>
      </c>
      <c r="I34" s="20">
        <v>149.85120380000001</v>
      </c>
      <c r="J34" s="23">
        <v>250</v>
      </c>
      <c r="K34" t="s">
        <v>32</v>
      </c>
      <c r="L34" t="s">
        <v>33</v>
      </c>
      <c r="M34" t="s">
        <v>33</v>
      </c>
      <c r="N34" t="s">
        <v>240</v>
      </c>
      <c r="O34" t="s">
        <v>217</v>
      </c>
      <c r="P34" t="s">
        <v>219</v>
      </c>
      <c r="Q34" s="21">
        <v>549</v>
      </c>
      <c r="R34" s="21">
        <v>411</v>
      </c>
      <c r="S34" s="27">
        <v>19</v>
      </c>
      <c r="T34" s="27">
        <v>20</v>
      </c>
      <c r="U34" s="11">
        <f>4.89*R34-75</f>
        <v>1934.79</v>
      </c>
      <c r="V34" s="54" t="s">
        <v>28</v>
      </c>
      <c r="W34" s="16">
        <f>(-LN(1-(U34/4090))/0.31)-0.47</f>
        <v>1.5966348498416247</v>
      </c>
    </row>
    <row r="35" spans="1:24" ht="17" x14ac:dyDescent="0.2">
      <c r="A35" s="28" t="s">
        <v>65</v>
      </c>
      <c r="B35" s="9" t="b">
        <v>0</v>
      </c>
      <c r="C35" s="10" t="s">
        <v>18</v>
      </c>
      <c r="D35" s="11">
        <v>2000</v>
      </c>
      <c r="E35" s="12">
        <v>15</v>
      </c>
      <c r="F35" s="11">
        <f>D35-W35</f>
        <v>1996.5709851258823</v>
      </c>
      <c r="G35" s="19" t="s">
        <v>31</v>
      </c>
      <c r="H35" s="20">
        <v>-21.8208786</v>
      </c>
      <c r="I35" s="20">
        <v>149.47782570000001</v>
      </c>
      <c r="J35" s="23">
        <v>250</v>
      </c>
      <c r="K35" t="s">
        <v>32</v>
      </c>
      <c r="L35" t="s">
        <v>33</v>
      </c>
      <c r="M35" t="s">
        <v>33</v>
      </c>
      <c r="N35" t="s">
        <v>240</v>
      </c>
      <c r="O35" t="s">
        <v>217</v>
      </c>
      <c r="P35" t="s">
        <v>219</v>
      </c>
      <c r="Q35" s="21">
        <v>723</v>
      </c>
      <c r="R35" s="21">
        <v>602</v>
      </c>
      <c r="S35" s="21">
        <v>22</v>
      </c>
      <c r="T35" s="21">
        <v>25</v>
      </c>
      <c r="U35" s="11">
        <f>4.89*R35-75</f>
        <v>2868.7799999999997</v>
      </c>
      <c r="V35" s="54" t="s">
        <v>22</v>
      </c>
      <c r="W35" s="16">
        <f>(-LN(1-(U35/4090))/0.31)-0.47</f>
        <v>3.429014874117617</v>
      </c>
    </row>
    <row r="36" spans="1:24" ht="17" x14ac:dyDescent="0.2">
      <c r="A36" s="28" t="s">
        <v>66</v>
      </c>
      <c r="B36" s="9" t="b">
        <v>0</v>
      </c>
      <c r="C36" s="10" t="s">
        <v>18</v>
      </c>
      <c r="D36" s="11">
        <v>2000</v>
      </c>
      <c r="E36" s="12">
        <v>15</v>
      </c>
      <c r="F36" s="11">
        <f>D36-W36</f>
        <v>1996.9827231679531</v>
      </c>
      <c r="G36" s="19" t="s">
        <v>31</v>
      </c>
      <c r="H36" s="25">
        <v>-21.178592900000002</v>
      </c>
      <c r="I36" s="25">
        <v>149.46258940000001</v>
      </c>
      <c r="J36" s="23">
        <v>250</v>
      </c>
      <c r="K36" t="s">
        <v>32</v>
      </c>
      <c r="L36" t="s">
        <v>33</v>
      </c>
      <c r="M36" t="s">
        <v>33</v>
      </c>
      <c r="N36" t="s">
        <v>240</v>
      </c>
      <c r="O36" t="s">
        <v>217</v>
      </c>
      <c r="P36" t="s">
        <v>219</v>
      </c>
      <c r="Q36" s="21"/>
      <c r="R36" s="21">
        <v>568</v>
      </c>
      <c r="S36" s="21">
        <v>21</v>
      </c>
      <c r="T36" s="21">
        <v>23</v>
      </c>
      <c r="U36" s="11">
        <f>4.89*R36-75</f>
        <v>2702.52</v>
      </c>
      <c r="V36" s="54" t="s">
        <v>22</v>
      </c>
      <c r="W36" s="16">
        <f>(-LN(1-(U36/4090))/0.31)-0.47</f>
        <v>3.0172768320469716</v>
      </c>
    </row>
    <row r="37" spans="1:24" ht="17" x14ac:dyDescent="0.2">
      <c r="A37" s="8" t="s">
        <v>67</v>
      </c>
      <c r="B37" s="9" t="b">
        <v>0</v>
      </c>
      <c r="C37" s="10" t="s">
        <v>18</v>
      </c>
      <c r="D37" s="11">
        <v>2000</v>
      </c>
      <c r="E37" s="12">
        <v>15</v>
      </c>
      <c r="F37" s="11">
        <f>D37-W37</f>
        <v>1999.1777837107911</v>
      </c>
      <c r="G37" s="19" t="s">
        <v>31</v>
      </c>
      <c r="H37" s="20">
        <v>-20.928691400000002</v>
      </c>
      <c r="I37" s="20">
        <v>149.72181739999999</v>
      </c>
      <c r="J37" s="23">
        <v>250</v>
      </c>
      <c r="K37" t="s">
        <v>32</v>
      </c>
      <c r="L37" t="s">
        <v>33</v>
      </c>
      <c r="M37" t="s">
        <v>33</v>
      </c>
      <c r="N37" t="s">
        <v>240</v>
      </c>
      <c r="O37" t="s">
        <v>217</v>
      </c>
      <c r="P37" t="s">
        <v>219</v>
      </c>
      <c r="Q37" s="21">
        <v>372</v>
      </c>
      <c r="R37" s="21">
        <v>270</v>
      </c>
      <c r="S37" s="21">
        <v>18</v>
      </c>
      <c r="T37" s="21">
        <v>18</v>
      </c>
      <c r="U37" s="11">
        <f>R37/0.2</f>
        <v>1350</v>
      </c>
      <c r="V37" s="54" t="s">
        <v>35</v>
      </c>
      <c r="W37" s="16">
        <f>(-LN(1-(U37/4090))/0.31)-0.47</f>
        <v>0.82221628920881162</v>
      </c>
    </row>
    <row r="38" spans="1:24" ht="17" x14ac:dyDescent="0.2">
      <c r="A38" s="28" t="s">
        <v>68</v>
      </c>
      <c r="B38" s="9" t="b">
        <v>0</v>
      </c>
      <c r="C38" s="10" t="s">
        <v>18</v>
      </c>
      <c r="D38" s="11">
        <v>2000</v>
      </c>
      <c r="E38" s="12">
        <v>15</v>
      </c>
      <c r="F38" s="11">
        <f>D38-W38</f>
        <v>1998.5849370093924</v>
      </c>
      <c r="G38" s="19" t="s">
        <v>31</v>
      </c>
      <c r="H38" s="20">
        <v>-22.5005755</v>
      </c>
      <c r="I38" s="20">
        <v>150.49363070000001</v>
      </c>
      <c r="J38" s="23">
        <v>250</v>
      </c>
      <c r="K38" t="s">
        <v>32</v>
      </c>
      <c r="L38" t="s">
        <v>33</v>
      </c>
      <c r="M38" t="s">
        <v>33</v>
      </c>
      <c r="N38" t="s">
        <v>240</v>
      </c>
      <c r="O38" t="s">
        <v>217</v>
      </c>
      <c r="P38" t="s">
        <v>219</v>
      </c>
      <c r="Q38" s="21">
        <v>441</v>
      </c>
      <c r="R38" s="21">
        <v>362</v>
      </c>
      <c r="S38" s="21">
        <v>20</v>
      </c>
      <c r="T38" s="21">
        <v>20</v>
      </c>
      <c r="U38" s="11">
        <f>R38/0.2</f>
        <v>1810</v>
      </c>
      <c r="V38" s="54" t="s">
        <v>28</v>
      </c>
      <c r="W38" s="16">
        <f>(-LN(1-(U38/4090))/0.31)-0.47</f>
        <v>1.4150629906076162</v>
      </c>
    </row>
    <row r="39" spans="1:24" ht="17" x14ac:dyDescent="0.2">
      <c r="A39" s="28" t="s">
        <v>69</v>
      </c>
      <c r="B39" s="9" t="b">
        <v>0</v>
      </c>
      <c r="C39" s="10" t="s">
        <v>18</v>
      </c>
      <c r="D39" s="11">
        <v>2000</v>
      </c>
      <c r="E39" s="12">
        <v>15</v>
      </c>
      <c r="F39" s="11">
        <f>D39-W39</f>
        <v>1996.9253715893192</v>
      </c>
      <c r="G39" s="19" t="s">
        <v>31</v>
      </c>
      <c r="H39" s="25">
        <v>-23.139860200000001</v>
      </c>
      <c r="I39" s="25">
        <v>150.9005046</v>
      </c>
      <c r="J39" s="23">
        <v>250</v>
      </c>
      <c r="K39" t="s">
        <v>32</v>
      </c>
      <c r="L39" t="s">
        <v>33</v>
      </c>
      <c r="M39" t="s">
        <v>33</v>
      </c>
      <c r="N39" t="s">
        <v>240</v>
      </c>
      <c r="O39" t="s">
        <v>217</v>
      </c>
      <c r="P39" t="s">
        <v>219</v>
      </c>
      <c r="Q39" s="21">
        <v>707</v>
      </c>
      <c r="R39" s="21">
        <v>573</v>
      </c>
      <c r="S39" s="21">
        <v>23</v>
      </c>
      <c r="T39" s="21">
        <v>21</v>
      </c>
      <c r="U39" s="11">
        <f>4.89*R39-75</f>
        <v>2726.97</v>
      </c>
      <c r="V39" s="54" t="s">
        <v>22</v>
      </c>
      <c r="W39" s="16">
        <f>(-LN(1-(U39/4090))/0.31)-0.47</f>
        <v>3.0746284106808943</v>
      </c>
    </row>
    <row r="40" spans="1:24" ht="17" x14ac:dyDescent="0.2">
      <c r="A40" s="29" t="s">
        <v>70</v>
      </c>
      <c r="B40" s="9" t="b">
        <v>0</v>
      </c>
      <c r="C40" s="10" t="s">
        <v>18</v>
      </c>
      <c r="D40" s="11">
        <v>2000</v>
      </c>
      <c r="E40" s="12">
        <v>15</v>
      </c>
      <c r="F40" s="11">
        <f>D40-W40</f>
        <v>1998.4685734902869</v>
      </c>
      <c r="G40" s="19" t="s">
        <v>31</v>
      </c>
      <c r="H40" s="20">
        <v>-19.7044906</v>
      </c>
      <c r="I40" s="20">
        <v>147.6466178</v>
      </c>
      <c r="J40" s="23">
        <v>250</v>
      </c>
      <c r="K40" t="s">
        <v>32</v>
      </c>
      <c r="L40" t="s">
        <v>33</v>
      </c>
      <c r="M40" t="s">
        <v>33</v>
      </c>
      <c r="N40" t="s">
        <v>240</v>
      </c>
      <c r="O40" t="s">
        <v>217</v>
      </c>
      <c r="P40" t="s">
        <v>224</v>
      </c>
      <c r="Q40" s="21">
        <v>502</v>
      </c>
      <c r="R40" s="21">
        <v>402</v>
      </c>
      <c r="S40" s="27">
        <v>19</v>
      </c>
      <c r="T40" s="27">
        <v>19</v>
      </c>
      <c r="U40" s="11">
        <f>4.89*R40-75</f>
        <v>1890.78</v>
      </c>
      <c r="V40" s="54" t="s">
        <v>28</v>
      </c>
      <c r="W40" s="16">
        <f>(-LN(1-(U40/4090))/0.31)-0.47</f>
        <v>1.5314265097131774</v>
      </c>
    </row>
    <row r="41" spans="1:24" ht="17" x14ac:dyDescent="0.2">
      <c r="A41" s="29" t="s">
        <v>71</v>
      </c>
      <c r="B41" s="9" t="b">
        <v>0</v>
      </c>
      <c r="C41" s="10" t="s">
        <v>18</v>
      </c>
      <c r="D41" s="11">
        <v>2000</v>
      </c>
      <c r="E41" s="12">
        <v>15</v>
      </c>
      <c r="F41" s="11">
        <f>D41-W41</f>
        <v>1998.6201151819157</v>
      </c>
      <c r="G41" s="19" t="s">
        <v>31</v>
      </c>
      <c r="H41" s="20">
        <v>-20.495287300000001</v>
      </c>
      <c r="I41" s="20">
        <v>148.89992520000001</v>
      </c>
      <c r="J41" s="23">
        <v>250</v>
      </c>
      <c r="K41" t="s">
        <v>32</v>
      </c>
      <c r="L41" t="s">
        <v>33</v>
      </c>
      <c r="M41" t="s">
        <v>33</v>
      </c>
      <c r="N41" t="s">
        <v>240</v>
      </c>
      <c r="O41" t="s">
        <v>217</v>
      </c>
      <c r="P41" t="s">
        <v>219</v>
      </c>
      <c r="Q41" s="21">
        <v>425</v>
      </c>
      <c r="R41" s="21">
        <v>357</v>
      </c>
      <c r="S41" s="21">
        <v>22</v>
      </c>
      <c r="T41" s="21">
        <v>23</v>
      </c>
      <c r="U41" s="11">
        <f>R41/0.2</f>
        <v>1785</v>
      </c>
      <c r="V41" s="54" t="s">
        <v>28</v>
      </c>
      <c r="W41" s="16">
        <f>(-LN(1-(U41/4090))/0.31)-0.47</f>
        <v>1.3798848180841892</v>
      </c>
    </row>
    <row r="42" spans="1:24" ht="17" x14ac:dyDescent="0.2">
      <c r="A42" s="8" t="s">
        <v>72</v>
      </c>
      <c r="B42" s="9" t="b">
        <v>0</v>
      </c>
      <c r="C42" s="10" t="s">
        <v>18</v>
      </c>
      <c r="D42" s="11">
        <v>2000</v>
      </c>
      <c r="E42" s="12">
        <v>15</v>
      </c>
      <c r="F42" s="11">
        <f>D42-W42</f>
        <v>1998.6271050144483</v>
      </c>
      <c r="G42" s="19" t="s">
        <v>31</v>
      </c>
      <c r="H42" s="20">
        <v>-21.7660631</v>
      </c>
      <c r="I42" s="20">
        <v>150.52138429999999</v>
      </c>
      <c r="J42">
        <v>250</v>
      </c>
      <c r="K42" t="s">
        <v>32</v>
      </c>
      <c r="L42" t="s">
        <v>33</v>
      </c>
      <c r="M42" t="s">
        <v>33</v>
      </c>
      <c r="N42" t="s">
        <v>240</v>
      </c>
      <c r="O42" t="s">
        <v>217</v>
      </c>
      <c r="P42" t="s">
        <v>219</v>
      </c>
      <c r="Q42" s="21">
        <v>427</v>
      </c>
      <c r="R42" s="21">
        <v>356</v>
      </c>
      <c r="S42" s="21">
        <v>22</v>
      </c>
      <c r="T42" s="21">
        <v>20</v>
      </c>
      <c r="U42" s="11">
        <f>R42/0.2</f>
        <v>1780</v>
      </c>
      <c r="V42" s="54" t="s">
        <v>28</v>
      </c>
      <c r="W42" s="16">
        <f>(-LN(1-(U42/4090))/0.31)-0.47</f>
        <v>1.3728949855516395</v>
      </c>
    </row>
    <row r="43" spans="1:24" ht="17" x14ac:dyDescent="0.2">
      <c r="A43" s="8" t="s">
        <v>73</v>
      </c>
      <c r="B43" s="9" t="b">
        <v>0</v>
      </c>
      <c r="C43" s="10" t="s">
        <v>18</v>
      </c>
      <c r="D43" s="11">
        <v>2000</v>
      </c>
      <c r="E43" s="12">
        <v>15</v>
      </c>
      <c r="F43" s="11">
        <f>D43-W43</f>
        <v>1999.5393632236564</v>
      </c>
      <c r="G43" s="19" t="s">
        <v>31</v>
      </c>
      <c r="H43" s="20">
        <v>-22.154176400000001</v>
      </c>
      <c r="I43" s="20">
        <v>149.5772498</v>
      </c>
      <c r="J43">
        <v>250</v>
      </c>
      <c r="K43" t="s">
        <v>32</v>
      </c>
      <c r="L43" t="s">
        <v>33</v>
      </c>
      <c r="M43" t="s">
        <v>33</v>
      </c>
      <c r="N43" t="s">
        <v>240</v>
      </c>
      <c r="O43" t="s">
        <v>217</v>
      </c>
      <c r="P43" t="s">
        <v>219</v>
      </c>
      <c r="Q43" s="14"/>
      <c r="R43" s="21">
        <v>205</v>
      </c>
      <c r="S43" s="21">
        <v>20</v>
      </c>
      <c r="T43" s="21">
        <v>20</v>
      </c>
      <c r="U43" s="11">
        <f>R43/0.2</f>
        <v>1025</v>
      </c>
      <c r="V43" s="54" t="s">
        <v>35</v>
      </c>
      <c r="W43" s="16">
        <f>(-LN(1-(U43/4090))/0.31)-0.47</f>
        <v>0.46063677634366373</v>
      </c>
    </row>
    <row r="44" spans="1:24" ht="17" x14ac:dyDescent="0.2">
      <c r="A44" s="28" t="s">
        <v>74</v>
      </c>
      <c r="B44" s="9" t="b">
        <v>0</v>
      </c>
      <c r="C44" s="10" t="s">
        <v>18</v>
      </c>
      <c r="D44" s="11">
        <v>2000</v>
      </c>
      <c r="E44" s="12">
        <v>15</v>
      </c>
      <c r="F44" s="11">
        <f>D44-W44</f>
        <v>1997.1811353075682</v>
      </c>
      <c r="G44" s="19" t="s">
        <v>31</v>
      </c>
      <c r="H44" s="25">
        <v>-20.762034700000001</v>
      </c>
      <c r="I44" s="25">
        <v>149.57004040000001</v>
      </c>
      <c r="J44" s="23">
        <v>250</v>
      </c>
      <c r="K44" t="s">
        <v>32</v>
      </c>
      <c r="L44" t="s">
        <v>33</v>
      </c>
      <c r="M44" t="s">
        <v>33</v>
      </c>
      <c r="N44" t="s">
        <v>240</v>
      </c>
      <c r="O44" t="s">
        <v>217</v>
      </c>
      <c r="P44" t="s">
        <v>219</v>
      </c>
      <c r="Q44" s="21">
        <v>652</v>
      </c>
      <c r="R44" s="21">
        <v>550</v>
      </c>
      <c r="S44" s="21">
        <v>23</v>
      </c>
      <c r="T44" s="21">
        <v>23</v>
      </c>
      <c r="U44" s="11">
        <f>4.89*R44-75</f>
        <v>2614.5</v>
      </c>
      <c r="V44" s="54" t="s">
        <v>22</v>
      </c>
      <c r="W44" s="16">
        <f>(-LN(1-(U44/4090))/0.31)-0.47</f>
        <v>2.8188646924317853</v>
      </c>
    </row>
    <row r="45" spans="1:24" ht="17" x14ac:dyDescent="0.2">
      <c r="A45" s="28" t="s">
        <v>75</v>
      </c>
      <c r="B45" s="9" t="b">
        <v>0</v>
      </c>
      <c r="C45" s="10" t="s">
        <v>18</v>
      </c>
      <c r="D45" s="11">
        <v>2000</v>
      </c>
      <c r="E45" s="12">
        <v>15</v>
      </c>
      <c r="F45" s="11">
        <f>D45-W45</f>
        <v>1997.1272337491853</v>
      </c>
      <c r="G45" s="19" t="s">
        <v>31</v>
      </c>
      <c r="H45" s="25">
        <v>-20.838924299999999</v>
      </c>
      <c r="I45" s="25">
        <v>148.93470490000001</v>
      </c>
      <c r="J45" s="23">
        <v>250</v>
      </c>
      <c r="K45" t="s">
        <v>32</v>
      </c>
      <c r="L45" t="s">
        <v>33</v>
      </c>
      <c r="M45" t="s">
        <v>33</v>
      </c>
      <c r="N45" t="s">
        <v>240</v>
      </c>
      <c r="O45" t="s">
        <v>217</v>
      </c>
      <c r="P45" t="s">
        <v>219</v>
      </c>
      <c r="Q45" s="21">
        <v>654</v>
      </c>
      <c r="R45" s="21">
        <v>555</v>
      </c>
      <c r="S45" s="21">
        <v>23</v>
      </c>
      <c r="T45" s="21">
        <v>21</v>
      </c>
      <c r="U45" s="11">
        <f>4.89*R45-75</f>
        <v>2638.95</v>
      </c>
      <c r="V45" s="54" t="s">
        <v>22</v>
      </c>
      <c r="W45" s="16">
        <f>(-LN(1-(U45/4090))/0.31)-0.47</f>
        <v>2.872766250814708</v>
      </c>
    </row>
    <row r="46" spans="1:24" ht="17" x14ac:dyDescent="0.2">
      <c r="A46" s="28" t="s">
        <v>76</v>
      </c>
      <c r="B46" s="9" t="b">
        <v>0</v>
      </c>
      <c r="C46" s="10" t="s">
        <v>18</v>
      </c>
      <c r="D46" s="11">
        <v>2000</v>
      </c>
      <c r="E46" s="12">
        <v>15</v>
      </c>
      <c r="F46" s="11">
        <f>D46-W46</f>
        <v>1997.8714442492862</v>
      </c>
      <c r="G46" s="19" t="s">
        <v>31</v>
      </c>
      <c r="H46" s="20">
        <v>-20.860971500000002</v>
      </c>
      <c r="I46" s="20">
        <v>148.97758529999999</v>
      </c>
      <c r="J46" s="23">
        <v>250</v>
      </c>
      <c r="K46" t="s">
        <v>32</v>
      </c>
      <c r="L46" t="s">
        <v>33</v>
      </c>
      <c r="M46" t="s">
        <v>33</v>
      </c>
      <c r="N46" t="s">
        <v>240</v>
      </c>
      <c r="O46" t="s">
        <v>217</v>
      </c>
      <c r="P46" t="s">
        <v>219</v>
      </c>
      <c r="Q46" s="21">
        <v>584</v>
      </c>
      <c r="R46" s="21">
        <v>478</v>
      </c>
      <c r="S46" s="27">
        <v>20</v>
      </c>
      <c r="T46" s="27">
        <v>21</v>
      </c>
      <c r="U46" s="11">
        <f>4.89*R46-75</f>
        <v>2262.42</v>
      </c>
      <c r="V46" s="54" t="s">
        <v>22</v>
      </c>
      <c r="W46" s="16">
        <f>(-LN(1-(U46/4090))/0.31)-0.47</f>
        <v>2.1285557507136934</v>
      </c>
    </row>
    <row r="47" spans="1:24" ht="17" x14ac:dyDescent="0.2">
      <c r="A47" s="8" t="s">
        <v>77</v>
      </c>
      <c r="B47" s="9" t="b">
        <v>0</v>
      </c>
      <c r="C47" s="10" t="s">
        <v>18</v>
      </c>
      <c r="D47" s="11">
        <v>2000</v>
      </c>
      <c r="E47" s="12">
        <v>15</v>
      </c>
      <c r="F47" s="11">
        <f>D47-W47</f>
        <v>1999.5340965997084</v>
      </c>
      <c r="G47" s="19" t="s">
        <v>31</v>
      </c>
      <c r="H47" s="20">
        <v>-21.9592931</v>
      </c>
      <c r="I47" s="20">
        <v>149.98537859999999</v>
      </c>
      <c r="J47">
        <v>250</v>
      </c>
      <c r="K47" t="s">
        <v>32</v>
      </c>
      <c r="L47" t="s">
        <v>33</v>
      </c>
      <c r="M47" t="s">
        <v>33</v>
      </c>
      <c r="N47" t="s">
        <v>240</v>
      </c>
      <c r="O47" t="s">
        <v>217</v>
      </c>
      <c r="P47" t="s">
        <v>219</v>
      </c>
      <c r="Q47" s="14"/>
      <c r="R47" s="21">
        <v>206</v>
      </c>
      <c r="S47" s="14">
        <v>22</v>
      </c>
      <c r="T47" s="14">
        <v>22</v>
      </c>
      <c r="U47" s="11">
        <f>R47/0.2</f>
        <v>1030</v>
      </c>
      <c r="V47" s="54" t="s">
        <v>35</v>
      </c>
      <c r="W47" s="16">
        <f>(-LN(1-(U47/4090))/0.31)-0.47</f>
        <v>0.46590340029168065</v>
      </c>
    </row>
    <row r="48" spans="1:24" ht="17" x14ac:dyDescent="0.2">
      <c r="A48" s="8" t="s">
        <v>78</v>
      </c>
      <c r="B48" s="9" t="b">
        <v>0</v>
      </c>
      <c r="C48" s="31" t="s">
        <v>18</v>
      </c>
      <c r="D48" s="11">
        <v>2000</v>
      </c>
      <c r="E48" s="12">
        <v>15</v>
      </c>
      <c r="F48" s="11">
        <f>D48-W48</f>
        <v>1998.1523143791719</v>
      </c>
      <c r="G48" s="19" t="s">
        <v>31</v>
      </c>
      <c r="H48" s="25">
        <v>-21.494529400000001</v>
      </c>
      <c r="I48" s="25">
        <v>149.98825629999999</v>
      </c>
      <c r="J48">
        <v>250</v>
      </c>
      <c r="K48" t="s">
        <v>32</v>
      </c>
      <c r="L48" t="s">
        <v>33</v>
      </c>
      <c r="M48" t="s">
        <v>33</v>
      </c>
      <c r="N48" t="s">
        <v>240</v>
      </c>
      <c r="O48" t="s">
        <v>217</v>
      </c>
      <c r="P48" t="s">
        <v>219</v>
      </c>
      <c r="Q48" s="21">
        <v>536</v>
      </c>
      <c r="R48" s="21">
        <v>444</v>
      </c>
      <c r="S48" s="21">
        <v>20</v>
      </c>
      <c r="T48" s="21">
        <v>20</v>
      </c>
      <c r="U48" s="11">
        <f>4.89*R48-75</f>
        <v>2096.16</v>
      </c>
      <c r="V48" s="54" t="s">
        <v>79</v>
      </c>
      <c r="W48" s="16">
        <f>(-LN(1-(U48/4090))/0.31)-0.47</f>
        <v>1.8476856208280299</v>
      </c>
      <c r="X48" s="26"/>
    </row>
    <row r="49" spans="1:23" ht="17" x14ac:dyDescent="0.2">
      <c r="A49" s="29" t="s">
        <v>80</v>
      </c>
      <c r="B49" s="9" t="b">
        <v>0</v>
      </c>
      <c r="C49" s="10" t="s">
        <v>18</v>
      </c>
      <c r="D49" s="11">
        <v>2000</v>
      </c>
      <c r="E49" s="12">
        <v>15</v>
      </c>
      <c r="F49" s="11">
        <f>D49-W49</f>
        <v>1998.4252480529981</v>
      </c>
      <c r="G49" s="19" t="s">
        <v>31</v>
      </c>
      <c r="H49" s="20">
        <v>-21.8822279</v>
      </c>
      <c r="I49" s="20">
        <v>150.1899712</v>
      </c>
      <c r="J49" s="23">
        <v>250</v>
      </c>
      <c r="K49" t="s">
        <v>32</v>
      </c>
      <c r="L49" t="s">
        <v>33</v>
      </c>
      <c r="M49" t="s">
        <v>33</v>
      </c>
      <c r="N49" t="s">
        <v>240</v>
      </c>
      <c r="O49" t="s">
        <v>217</v>
      </c>
      <c r="P49" t="s">
        <v>219</v>
      </c>
      <c r="Q49" s="21">
        <v>486</v>
      </c>
      <c r="R49" s="21">
        <v>408</v>
      </c>
      <c r="S49" s="27">
        <v>25</v>
      </c>
      <c r="T49" s="27">
        <v>25</v>
      </c>
      <c r="U49" s="11">
        <f>4.89*R49-75</f>
        <v>1920.12</v>
      </c>
      <c r="V49" s="54" t="s">
        <v>28</v>
      </c>
      <c r="W49" s="16">
        <f>(-LN(1-(U49/4090))/0.31)-0.47</f>
        <v>1.5747519470018985</v>
      </c>
    </row>
    <row r="50" spans="1:23" ht="17" x14ac:dyDescent="0.2">
      <c r="A50" s="29" t="s">
        <v>81</v>
      </c>
      <c r="B50" s="9" t="b">
        <v>0</v>
      </c>
      <c r="C50" s="10" t="s">
        <v>18</v>
      </c>
      <c r="D50" s="11">
        <v>2000</v>
      </c>
      <c r="E50" s="12">
        <v>15</v>
      </c>
      <c r="F50" s="11">
        <f>D50-W50</f>
        <v>1998.4469835084694</v>
      </c>
      <c r="G50" s="19" t="s">
        <v>31</v>
      </c>
      <c r="H50" s="20">
        <v>-21.944443100000001</v>
      </c>
      <c r="I50" s="20">
        <v>150.34680040000001</v>
      </c>
      <c r="J50" s="23">
        <v>250</v>
      </c>
      <c r="K50" t="s">
        <v>32</v>
      </c>
      <c r="L50" t="s">
        <v>33</v>
      </c>
      <c r="M50" t="s">
        <v>33</v>
      </c>
      <c r="N50" t="s">
        <v>240</v>
      </c>
      <c r="O50" t="s">
        <v>217</v>
      </c>
      <c r="P50" t="s">
        <v>219</v>
      </c>
      <c r="Q50" s="21">
        <v>499</v>
      </c>
      <c r="R50" s="21">
        <v>405</v>
      </c>
      <c r="S50" s="27">
        <v>21</v>
      </c>
      <c r="T50" s="27">
        <v>20</v>
      </c>
      <c r="U50" s="11">
        <f>4.89*R50-75</f>
        <v>1905.4499999999998</v>
      </c>
      <c r="V50" s="54" t="s">
        <v>28</v>
      </c>
      <c r="W50" s="16">
        <f>(-LN(1-(U50/4090))/0.31)-0.47</f>
        <v>1.5530164915304845</v>
      </c>
    </row>
    <row r="51" spans="1:23" ht="17" x14ac:dyDescent="0.2">
      <c r="A51" s="28" t="s">
        <v>82</v>
      </c>
      <c r="B51" s="9" t="b">
        <v>0</v>
      </c>
      <c r="C51" s="10" t="s">
        <v>18</v>
      </c>
      <c r="D51" s="11">
        <v>2000</v>
      </c>
      <c r="E51" s="12">
        <v>15</v>
      </c>
      <c r="F51" s="11">
        <f>D51-W51</f>
        <v>1997.1163445084831</v>
      </c>
      <c r="G51" s="19" t="s">
        <v>31</v>
      </c>
      <c r="H51" s="25">
        <v>-21.283470099999999</v>
      </c>
      <c r="I51" s="25">
        <v>149.53885</v>
      </c>
      <c r="J51" s="23">
        <v>250</v>
      </c>
      <c r="K51" t="s">
        <v>32</v>
      </c>
      <c r="L51" t="s">
        <v>33</v>
      </c>
      <c r="M51" t="s">
        <v>33</v>
      </c>
      <c r="N51" t="s">
        <v>240</v>
      </c>
      <c r="O51" t="s">
        <v>217</v>
      </c>
      <c r="P51" t="s">
        <v>219</v>
      </c>
      <c r="Q51" s="21"/>
      <c r="R51" s="21">
        <v>556</v>
      </c>
      <c r="S51" s="21">
        <v>22</v>
      </c>
      <c r="T51" s="21">
        <v>22</v>
      </c>
      <c r="U51" s="11">
        <f>4.89*R51-75</f>
        <v>2643.8399999999997</v>
      </c>
      <c r="V51" s="54" t="s">
        <v>22</v>
      </c>
      <c r="W51" s="16">
        <f>(-LN(1-(U51/4090))/0.31)-0.47</f>
        <v>2.8836554915169303</v>
      </c>
    </row>
    <row r="52" spans="1:23" ht="17" x14ac:dyDescent="0.2">
      <c r="A52" s="28" t="s">
        <v>83</v>
      </c>
      <c r="B52" s="9" t="b">
        <v>0</v>
      </c>
      <c r="C52" s="10" t="s">
        <v>18</v>
      </c>
      <c r="D52" s="11">
        <v>2000</v>
      </c>
      <c r="E52" s="12">
        <v>15</v>
      </c>
      <c r="F52" s="11">
        <f>D52-W52</f>
        <v>1998.3119631719981</v>
      </c>
      <c r="G52" s="19" t="s">
        <v>31</v>
      </c>
      <c r="H52" s="20">
        <v>-22.256208099999998</v>
      </c>
      <c r="I52" s="20">
        <v>149.7661196</v>
      </c>
      <c r="J52" s="23">
        <v>250</v>
      </c>
      <c r="K52" t="s">
        <v>32</v>
      </c>
      <c r="L52" t="s">
        <v>33</v>
      </c>
      <c r="M52" t="s">
        <v>33</v>
      </c>
      <c r="N52" t="s">
        <v>240</v>
      </c>
      <c r="O52" t="s">
        <v>217</v>
      </c>
      <c r="P52" t="s">
        <v>219</v>
      </c>
      <c r="Q52" s="21">
        <v>458</v>
      </c>
      <c r="R52" s="21">
        <v>399</v>
      </c>
      <c r="S52" s="21">
        <v>22</v>
      </c>
      <c r="T52" s="21">
        <v>22</v>
      </c>
      <c r="U52" s="11">
        <f>R52/0.2</f>
        <v>1995</v>
      </c>
      <c r="V52" s="54" t="s">
        <v>28</v>
      </c>
      <c r="W52" s="16">
        <f>(-LN(1-(U52/4090))/0.31)-0.47</f>
        <v>1.6880368280019658</v>
      </c>
    </row>
    <row r="53" spans="1:23" ht="17" x14ac:dyDescent="0.2">
      <c r="A53" s="28" t="s">
        <v>84</v>
      </c>
      <c r="B53" s="9" t="b">
        <v>0</v>
      </c>
      <c r="C53" s="10" t="s">
        <v>18</v>
      </c>
      <c r="D53" s="11">
        <v>2000</v>
      </c>
      <c r="E53" s="12">
        <v>15</v>
      </c>
      <c r="F53" s="11">
        <f>D53-W53</f>
        <v>1998.4916368820723</v>
      </c>
      <c r="G53" s="19" t="s">
        <v>31</v>
      </c>
      <c r="H53" s="20">
        <v>-22.002375099999998</v>
      </c>
      <c r="I53" s="20">
        <v>150.62782229999999</v>
      </c>
      <c r="J53" s="23">
        <v>250</v>
      </c>
      <c r="K53" t="s">
        <v>32</v>
      </c>
      <c r="L53" t="s">
        <v>33</v>
      </c>
      <c r="M53" t="s">
        <v>33</v>
      </c>
      <c r="N53" t="s">
        <v>240</v>
      </c>
      <c r="O53" t="s">
        <v>217</v>
      </c>
      <c r="P53" t="s">
        <v>219</v>
      </c>
      <c r="Q53" s="21">
        <v>437</v>
      </c>
      <c r="R53" s="21">
        <v>375</v>
      </c>
      <c r="S53" s="21">
        <v>24</v>
      </c>
      <c r="T53" s="21">
        <v>23</v>
      </c>
      <c r="U53" s="11">
        <f>R53/0.2</f>
        <v>1875</v>
      </c>
      <c r="V53" s="54" t="s">
        <v>28</v>
      </c>
      <c r="W53" s="16">
        <f>(-LN(1-(U53/4090))/0.31)-0.47</f>
        <v>1.5083631179277786</v>
      </c>
    </row>
    <row r="54" spans="1:23" ht="17" x14ac:dyDescent="0.2">
      <c r="A54" s="28" t="s">
        <v>85</v>
      </c>
      <c r="B54" s="9" t="b">
        <v>0</v>
      </c>
      <c r="C54" s="10" t="s">
        <v>18</v>
      </c>
      <c r="D54" s="11">
        <v>2000</v>
      </c>
      <c r="E54" s="12">
        <v>15</v>
      </c>
      <c r="F54" s="11">
        <f>D54-W54</f>
        <v>1997.3579427749371</v>
      </c>
      <c r="G54" s="19" t="s">
        <v>31</v>
      </c>
      <c r="H54" s="25">
        <v>-21.2051558</v>
      </c>
      <c r="I54" s="25">
        <v>149.71189459999999</v>
      </c>
      <c r="J54" s="23">
        <v>250</v>
      </c>
      <c r="K54" t="s">
        <v>32</v>
      </c>
      <c r="L54" t="s">
        <v>33</v>
      </c>
      <c r="M54" t="s">
        <v>33</v>
      </c>
      <c r="N54" t="s">
        <v>240</v>
      </c>
      <c r="O54" t="s">
        <v>217</v>
      </c>
      <c r="P54" t="s">
        <v>219</v>
      </c>
      <c r="Q54" s="21">
        <v>616</v>
      </c>
      <c r="R54" s="21">
        <v>533</v>
      </c>
      <c r="S54" s="21">
        <v>24</v>
      </c>
      <c r="T54" s="21">
        <v>24</v>
      </c>
      <c r="U54" s="11">
        <f>4.89*R54-75</f>
        <v>2531.37</v>
      </c>
      <c r="V54" s="54" t="s">
        <v>22</v>
      </c>
      <c r="W54" s="16">
        <f>(-LN(1-(U54/4090))/0.31)-0.47</f>
        <v>2.6420572250629428</v>
      </c>
    </row>
    <row r="55" spans="1:23" ht="17" x14ac:dyDescent="0.2">
      <c r="A55" s="8" t="s">
        <v>86</v>
      </c>
      <c r="B55" s="9" t="b">
        <v>0</v>
      </c>
      <c r="C55" s="10" t="s">
        <v>18</v>
      </c>
      <c r="D55" s="11">
        <v>2000</v>
      </c>
      <c r="E55" s="12">
        <v>15</v>
      </c>
      <c r="F55" s="11">
        <f>D55-W55</f>
        <v>1998.3442744390907</v>
      </c>
      <c r="G55" s="19" t="s">
        <v>31</v>
      </c>
      <c r="H55" s="20">
        <v>-21.144016000000001</v>
      </c>
      <c r="I55" s="20">
        <v>149.5235778</v>
      </c>
      <c r="J55">
        <v>250</v>
      </c>
      <c r="K55" t="s">
        <v>32</v>
      </c>
      <c r="L55" t="s">
        <v>33</v>
      </c>
      <c r="M55" t="s">
        <v>33</v>
      </c>
      <c r="N55" t="s">
        <v>240</v>
      </c>
      <c r="O55" t="s">
        <v>217</v>
      </c>
      <c r="P55" t="s">
        <v>219</v>
      </c>
      <c r="Q55" s="21">
        <v>551</v>
      </c>
      <c r="R55" s="21">
        <v>419</v>
      </c>
      <c r="S55" s="14">
        <v>18</v>
      </c>
      <c r="T55" s="14">
        <v>18</v>
      </c>
      <c r="U55" s="11">
        <f>4.89*R55-75</f>
        <v>1973.9099999999999</v>
      </c>
      <c r="V55" s="54" t="s">
        <v>28</v>
      </c>
      <c r="W55" s="16">
        <f>(-LN(1-(U55/4090))/0.31)-0.47</f>
        <v>1.6557255609092836</v>
      </c>
    </row>
    <row r="56" spans="1:23" ht="17" x14ac:dyDescent="0.2">
      <c r="A56" s="28" t="s">
        <v>87</v>
      </c>
      <c r="B56" s="9" t="b">
        <v>0</v>
      </c>
      <c r="C56" s="10" t="s">
        <v>18</v>
      </c>
      <c r="D56" s="11">
        <v>2000</v>
      </c>
      <c r="E56" s="12">
        <v>15</v>
      </c>
      <c r="F56" s="11">
        <f>D56-W56</f>
        <v>1997.2966406624403</v>
      </c>
      <c r="G56" s="19" t="s">
        <v>31</v>
      </c>
      <c r="H56" s="25">
        <v>-20.7823511</v>
      </c>
      <c r="I56" s="25">
        <v>149.348659</v>
      </c>
      <c r="J56" s="23">
        <v>250</v>
      </c>
      <c r="K56" t="s">
        <v>32</v>
      </c>
      <c r="L56" t="s">
        <v>33</v>
      </c>
      <c r="M56" t="s">
        <v>33</v>
      </c>
      <c r="N56" t="s">
        <v>240</v>
      </c>
      <c r="O56" t="s">
        <v>217</v>
      </c>
      <c r="P56" t="s">
        <v>219</v>
      </c>
      <c r="Q56" s="21">
        <v>665</v>
      </c>
      <c r="R56" s="21">
        <v>539</v>
      </c>
      <c r="S56" s="21">
        <v>23</v>
      </c>
      <c r="T56" s="21">
        <v>22</v>
      </c>
      <c r="U56" s="11">
        <f>4.89*R56-75</f>
        <v>2560.71</v>
      </c>
      <c r="V56" s="54" t="s">
        <v>22</v>
      </c>
      <c r="W56" s="16">
        <f>(-LN(1-(U56/4090))/0.31)-0.47</f>
        <v>2.7033593375597826</v>
      </c>
    </row>
    <row r="57" spans="1:23" ht="17" x14ac:dyDescent="0.2">
      <c r="A57" s="29" t="s">
        <v>88</v>
      </c>
      <c r="B57" s="9" t="b">
        <v>0</v>
      </c>
      <c r="C57" s="10" t="s">
        <v>18</v>
      </c>
      <c r="D57" s="11">
        <v>2000</v>
      </c>
      <c r="E57" s="12">
        <v>15</v>
      </c>
      <c r="F57" s="11">
        <f>D57-W57</f>
        <v>1998.1680986271908</v>
      </c>
      <c r="G57" s="19" t="s">
        <v>31</v>
      </c>
      <c r="H57" s="20">
        <v>-21.7245749</v>
      </c>
      <c r="I57" s="20">
        <v>149.53459430000001</v>
      </c>
      <c r="J57" s="23">
        <v>250</v>
      </c>
      <c r="K57" t="s">
        <v>32</v>
      </c>
      <c r="L57" t="s">
        <v>33</v>
      </c>
      <c r="M57" t="s">
        <v>33</v>
      </c>
      <c r="N57" t="s">
        <v>240</v>
      </c>
      <c r="O57" t="s">
        <v>217</v>
      </c>
      <c r="P57" t="s">
        <v>219</v>
      </c>
      <c r="Q57" s="21">
        <v>561</v>
      </c>
      <c r="R57" s="21">
        <v>442</v>
      </c>
      <c r="S57" s="27">
        <v>21</v>
      </c>
      <c r="T57" s="27">
        <v>20</v>
      </c>
      <c r="U57" s="11">
        <f>4.89*R57-75</f>
        <v>2086.3799999999997</v>
      </c>
      <c r="V57" s="54" t="s">
        <v>79</v>
      </c>
      <c r="W57" s="16">
        <f>(-LN(1-(U57/4090))/0.31)-0.47</f>
        <v>1.8319013728092381</v>
      </c>
    </row>
    <row r="58" spans="1:23" ht="17" x14ac:dyDescent="0.2">
      <c r="A58" s="29" t="s">
        <v>89</v>
      </c>
      <c r="B58" s="9" t="b">
        <v>0</v>
      </c>
      <c r="C58" s="10" t="s">
        <v>18</v>
      </c>
      <c r="D58" s="11">
        <v>2000</v>
      </c>
      <c r="E58" s="12">
        <v>15</v>
      </c>
      <c r="F58" s="11">
        <f>D58-W58</f>
        <v>1998.2072246188511</v>
      </c>
      <c r="G58" s="19" t="s">
        <v>31</v>
      </c>
      <c r="H58" s="20">
        <v>-21.801516400000001</v>
      </c>
      <c r="I58" s="20">
        <v>149.58840749999999</v>
      </c>
      <c r="J58" s="23">
        <v>250</v>
      </c>
      <c r="K58" t="s">
        <v>32</v>
      </c>
      <c r="L58" t="s">
        <v>33</v>
      </c>
      <c r="M58" t="s">
        <v>33</v>
      </c>
      <c r="N58" t="s">
        <v>240</v>
      </c>
      <c r="O58" t="s">
        <v>217</v>
      </c>
      <c r="P58" t="s">
        <v>219</v>
      </c>
      <c r="Q58" s="21">
        <v>535</v>
      </c>
      <c r="R58" s="21">
        <v>437</v>
      </c>
      <c r="S58" s="27">
        <v>20</v>
      </c>
      <c r="T58" s="27">
        <v>22</v>
      </c>
      <c r="U58" s="11">
        <f>4.89*R58-75</f>
        <v>2061.9299999999998</v>
      </c>
      <c r="V58" s="54" t="s">
        <v>79</v>
      </c>
      <c r="W58" s="16">
        <f>(-LN(1-(U58/4090))/0.31)-0.47</f>
        <v>1.7927753811489591</v>
      </c>
    </row>
    <row r="59" spans="1:23" ht="17" x14ac:dyDescent="0.2">
      <c r="A59" s="29" t="s">
        <v>90</v>
      </c>
      <c r="B59" s="9" t="b">
        <v>0</v>
      </c>
      <c r="C59" s="10" t="s">
        <v>18</v>
      </c>
      <c r="D59" s="11">
        <v>2000</v>
      </c>
      <c r="E59" s="12">
        <v>15</v>
      </c>
      <c r="F59" s="11">
        <f>D59-W59</f>
        <v>1998.128492241442</v>
      </c>
      <c r="G59" s="19" t="s">
        <v>31</v>
      </c>
      <c r="H59" s="20">
        <v>-19.869312300000001</v>
      </c>
      <c r="I59" s="20">
        <v>147.96575189999999</v>
      </c>
      <c r="J59" s="23">
        <v>250</v>
      </c>
      <c r="K59" t="s">
        <v>32</v>
      </c>
      <c r="L59" t="s">
        <v>33</v>
      </c>
      <c r="M59" t="s">
        <v>33</v>
      </c>
      <c r="N59" t="s">
        <v>240</v>
      </c>
      <c r="O59" t="s">
        <v>217</v>
      </c>
      <c r="P59" t="s">
        <v>224</v>
      </c>
      <c r="Q59" s="21">
        <v>586</v>
      </c>
      <c r="R59" s="21">
        <v>447</v>
      </c>
      <c r="S59" s="27">
        <v>21</v>
      </c>
      <c r="T59" s="27">
        <v>20</v>
      </c>
      <c r="U59" s="11">
        <f>4.89*R59-75</f>
        <v>2110.83</v>
      </c>
      <c r="V59" s="54" t="s">
        <v>79</v>
      </c>
      <c r="W59" s="16">
        <f>(-LN(1-(U59/4090))/0.31)-0.47</f>
        <v>1.8715077585579112</v>
      </c>
    </row>
    <row r="60" spans="1:23" ht="17" x14ac:dyDescent="0.2">
      <c r="A60" s="8" t="s">
        <v>91</v>
      </c>
      <c r="B60" s="9" t="b">
        <v>0</v>
      </c>
      <c r="C60" s="18" t="s">
        <v>30</v>
      </c>
      <c r="D60" s="11">
        <v>1950</v>
      </c>
      <c r="E60" s="12">
        <v>5</v>
      </c>
      <c r="F60" s="11">
        <f>D60-W60</f>
        <v>1946.7592836918379</v>
      </c>
      <c r="G60" s="32" t="s">
        <v>92</v>
      </c>
      <c r="H60" s="33">
        <v>-23.563421000000002</v>
      </c>
      <c r="I60" s="33">
        <v>150.88798299999999</v>
      </c>
      <c r="J60">
        <v>2</v>
      </c>
      <c r="K60" t="s">
        <v>93</v>
      </c>
      <c r="L60" t="s">
        <v>33</v>
      </c>
      <c r="M60" t="s">
        <v>33</v>
      </c>
      <c r="N60" t="s">
        <v>238</v>
      </c>
      <c r="O60" t="s">
        <v>217</v>
      </c>
      <c r="P60" t="s">
        <v>219</v>
      </c>
      <c r="Q60" s="21">
        <v>558</v>
      </c>
      <c r="R60" s="21">
        <v>547</v>
      </c>
      <c r="S60" s="21">
        <v>28</v>
      </c>
      <c r="T60" s="14">
        <v>28</v>
      </c>
      <c r="U60" s="11">
        <f>3.843*R60+98</f>
        <v>2200.1210000000001</v>
      </c>
      <c r="V60" s="54" t="s">
        <v>28</v>
      </c>
      <c r="W60" s="16">
        <f>(-LN(1-(U60/5400))-0.1344)/0.12</f>
        <v>3.2407163081621535</v>
      </c>
    </row>
    <row r="61" spans="1:23" ht="17" x14ac:dyDescent="0.2">
      <c r="A61" s="28" t="s">
        <v>94</v>
      </c>
      <c r="B61" s="9" t="b">
        <v>0</v>
      </c>
      <c r="C61" s="10" t="s">
        <v>18</v>
      </c>
      <c r="D61" s="11">
        <v>2000</v>
      </c>
      <c r="E61" s="12">
        <v>15</v>
      </c>
      <c r="F61" s="11">
        <f>D61-W61</f>
        <v>1998.599054346811</v>
      </c>
      <c r="G61" s="19" t="s">
        <v>31</v>
      </c>
      <c r="H61" s="20">
        <v>-21.915642500000001</v>
      </c>
      <c r="I61" s="20">
        <v>150.64531460000001</v>
      </c>
      <c r="J61" s="23">
        <v>250</v>
      </c>
      <c r="K61" t="s">
        <v>32</v>
      </c>
      <c r="L61" t="s">
        <v>33</v>
      </c>
      <c r="M61" t="s">
        <v>33</v>
      </c>
      <c r="N61" t="s">
        <v>240</v>
      </c>
      <c r="O61" t="s">
        <v>217</v>
      </c>
      <c r="P61" t="s">
        <v>219</v>
      </c>
      <c r="Q61" s="14">
        <v>450</v>
      </c>
      <c r="R61" s="14">
        <v>360</v>
      </c>
      <c r="S61" s="21">
        <v>20</v>
      </c>
      <c r="T61" s="21">
        <v>18</v>
      </c>
      <c r="U61" s="11">
        <f>R61/0.2</f>
        <v>1800</v>
      </c>
      <c r="V61" s="54" t="s">
        <v>28</v>
      </c>
      <c r="W61" s="16">
        <f>(-LN(1-(U61/4090))/0.31)-0.47</f>
        <v>1.4009456531889104</v>
      </c>
    </row>
    <row r="62" spans="1:23" ht="17" x14ac:dyDescent="0.2">
      <c r="A62" s="8" t="s">
        <v>95</v>
      </c>
      <c r="B62" s="9" t="b">
        <v>0</v>
      </c>
      <c r="C62" s="10" t="s">
        <v>18</v>
      </c>
      <c r="D62" s="11">
        <v>2000</v>
      </c>
      <c r="E62" s="12">
        <v>15</v>
      </c>
      <c r="F62" s="11">
        <f>D62-W62</f>
        <v>1998.6271050144483</v>
      </c>
      <c r="G62" s="19" t="s">
        <v>31</v>
      </c>
      <c r="H62" s="20">
        <v>-21.733233800000001</v>
      </c>
      <c r="I62" s="20">
        <v>149.65497360000001</v>
      </c>
      <c r="J62">
        <v>250</v>
      </c>
      <c r="K62" t="s">
        <v>32</v>
      </c>
      <c r="L62" t="s">
        <v>33</v>
      </c>
      <c r="M62" t="s">
        <v>33</v>
      </c>
      <c r="N62" t="s">
        <v>240</v>
      </c>
      <c r="O62" t="s">
        <v>217</v>
      </c>
      <c r="P62" t="s">
        <v>219</v>
      </c>
      <c r="Q62" s="21">
        <v>435</v>
      </c>
      <c r="R62" s="21">
        <v>356</v>
      </c>
      <c r="S62" s="21">
        <v>25</v>
      </c>
      <c r="T62" s="21">
        <v>24</v>
      </c>
      <c r="U62" s="11">
        <f>R62/0.2</f>
        <v>1780</v>
      </c>
      <c r="V62" s="54" t="s">
        <v>28</v>
      </c>
      <c r="W62" s="16">
        <f>(-LN(1-(U62/4090))/0.31)-0.47</f>
        <v>1.3728949855516395</v>
      </c>
    </row>
    <row r="63" spans="1:23" ht="17" x14ac:dyDescent="0.2">
      <c r="A63" s="8" t="s">
        <v>96</v>
      </c>
      <c r="B63" s="9" t="b">
        <v>0</v>
      </c>
      <c r="C63" s="31" t="s">
        <v>18</v>
      </c>
      <c r="D63" s="11">
        <v>2000</v>
      </c>
      <c r="E63" s="12">
        <v>15</v>
      </c>
      <c r="F63" s="11">
        <f>D63-W63</f>
        <v>1998.0066690067831</v>
      </c>
      <c r="G63" s="19" t="s">
        <v>31</v>
      </c>
      <c r="H63" s="20">
        <v>-20.378975000000001</v>
      </c>
      <c r="I63" s="20">
        <v>149.0440949</v>
      </c>
      <c r="J63">
        <v>250</v>
      </c>
      <c r="K63" t="s">
        <v>32</v>
      </c>
      <c r="L63" t="s">
        <v>33</v>
      </c>
      <c r="M63" t="s">
        <v>33</v>
      </c>
      <c r="N63" t="s">
        <v>240</v>
      </c>
      <c r="O63" t="s">
        <v>217</v>
      </c>
      <c r="P63" t="s">
        <v>219</v>
      </c>
      <c r="Q63" s="21">
        <v>551</v>
      </c>
      <c r="R63" s="21">
        <v>462</v>
      </c>
      <c r="S63" s="21">
        <v>22</v>
      </c>
      <c r="T63" s="21">
        <v>21</v>
      </c>
      <c r="U63" s="11">
        <f>4.89*R63-75</f>
        <v>2184.1799999999998</v>
      </c>
      <c r="V63" s="54" t="s">
        <v>79</v>
      </c>
      <c r="W63" s="16">
        <f>(-LN(1-(U63/4090))/0.31)-0.47</f>
        <v>1.9933309932167969</v>
      </c>
    </row>
    <row r="64" spans="1:23" ht="17" x14ac:dyDescent="0.2">
      <c r="A64" s="28" t="s">
        <v>97</v>
      </c>
      <c r="B64" s="9" t="b">
        <v>0</v>
      </c>
      <c r="C64" s="10" t="s">
        <v>18</v>
      </c>
      <c r="D64" s="11">
        <v>2000</v>
      </c>
      <c r="E64" s="12">
        <v>15</v>
      </c>
      <c r="F64" s="11">
        <f>D64-W64</f>
        <v>1998.6060899143799</v>
      </c>
      <c r="G64" s="19" t="s">
        <v>31</v>
      </c>
      <c r="H64" s="20">
        <v>-22.533230499999998</v>
      </c>
      <c r="I64" s="20">
        <v>150.8720112</v>
      </c>
      <c r="J64" s="23">
        <v>250</v>
      </c>
      <c r="K64" t="s">
        <v>32</v>
      </c>
      <c r="L64" t="s">
        <v>33</v>
      </c>
      <c r="M64" t="s">
        <v>33</v>
      </c>
      <c r="N64" t="s">
        <v>240</v>
      </c>
      <c r="O64" t="s">
        <v>217</v>
      </c>
      <c r="P64" t="s">
        <v>219</v>
      </c>
      <c r="Q64" s="14">
        <v>444</v>
      </c>
      <c r="R64" s="14">
        <v>359</v>
      </c>
      <c r="S64" s="21">
        <v>22</v>
      </c>
      <c r="T64" s="21">
        <v>23</v>
      </c>
      <c r="U64" s="11">
        <f>R64/0.2</f>
        <v>1795</v>
      </c>
      <c r="V64" s="54" t="s">
        <v>28</v>
      </c>
      <c r="W64" s="16">
        <f>(-LN(1-(U64/4090))/0.31)-0.47</f>
        <v>1.3939100856200062</v>
      </c>
    </row>
    <row r="65" spans="1:23" ht="17" x14ac:dyDescent="0.2">
      <c r="A65" s="28" t="s">
        <v>98</v>
      </c>
      <c r="B65" s="9" t="b">
        <v>0</v>
      </c>
      <c r="C65" s="10" t="s">
        <v>18</v>
      </c>
      <c r="D65" s="11">
        <v>2000</v>
      </c>
      <c r="E65" s="12">
        <v>15</v>
      </c>
      <c r="F65" s="11">
        <f>D65-W65</f>
        <v>1997.6940298798013</v>
      </c>
      <c r="G65" s="19" t="s">
        <v>31</v>
      </c>
      <c r="H65" s="20">
        <v>-22.711187299999999</v>
      </c>
      <c r="I65" s="20">
        <v>150.95335600000001</v>
      </c>
      <c r="J65" s="23">
        <v>250</v>
      </c>
      <c r="K65" t="s">
        <v>32</v>
      </c>
      <c r="L65" t="s">
        <v>33</v>
      </c>
      <c r="M65" t="s">
        <v>33</v>
      </c>
      <c r="N65" t="s">
        <v>240</v>
      </c>
      <c r="O65" t="s">
        <v>217</v>
      </c>
      <c r="P65" t="s">
        <v>219</v>
      </c>
      <c r="Q65" s="21">
        <v>576</v>
      </c>
      <c r="R65" s="21">
        <v>498</v>
      </c>
      <c r="S65" s="21">
        <v>17</v>
      </c>
      <c r="T65" s="21">
        <v>18</v>
      </c>
      <c r="U65" s="11">
        <f>4.89*R65-75</f>
        <v>2360.2199999999998</v>
      </c>
      <c r="V65" s="54" t="s">
        <v>22</v>
      </c>
      <c r="W65" s="16">
        <f>(-LN(1-(U65/4090))/0.31)-0.47</f>
        <v>2.3059701201986105</v>
      </c>
    </row>
    <row r="66" spans="1:23" ht="17" x14ac:dyDescent="0.2">
      <c r="A66" s="28" t="s">
        <v>99</v>
      </c>
      <c r="B66" s="9" t="b">
        <v>0</v>
      </c>
      <c r="C66" s="10" t="s">
        <v>18</v>
      </c>
      <c r="D66" s="11">
        <v>2000</v>
      </c>
      <c r="E66" s="12">
        <v>15</v>
      </c>
      <c r="F66" s="11">
        <f>D66-W66</f>
        <v>1996.9369237674307</v>
      </c>
      <c r="G66" s="19" t="s">
        <v>31</v>
      </c>
      <c r="H66" s="25">
        <v>-19.316204599999999</v>
      </c>
      <c r="I66" s="25">
        <v>147.4750512</v>
      </c>
      <c r="J66" s="23">
        <v>250</v>
      </c>
      <c r="K66" t="s">
        <v>32</v>
      </c>
      <c r="L66" t="s">
        <v>33</v>
      </c>
      <c r="M66" t="s">
        <v>33</v>
      </c>
      <c r="N66" t="s">
        <v>240</v>
      </c>
      <c r="O66" t="s">
        <v>217</v>
      </c>
      <c r="P66" t="s">
        <v>224</v>
      </c>
      <c r="Q66" s="21">
        <v>725</v>
      </c>
      <c r="R66" s="21">
        <v>572</v>
      </c>
      <c r="S66" s="21">
        <v>22</v>
      </c>
      <c r="T66" s="21">
        <v>21</v>
      </c>
      <c r="U66" s="11">
        <f>4.89*R66-75</f>
        <v>2722.08</v>
      </c>
      <c r="V66" s="54" t="s">
        <v>22</v>
      </c>
      <c r="W66" s="16">
        <f>(-LN(1-(U66/4090))/0.31)-0.47</f>
        <v>3.0630762325693874</v>
      </c>
    </row>
    <row r="67" spans="1:23" ht="17" x14ac:dyDescent="0.2">
      <c r="A67" s="28" t="s">
        <v>100</v>
      </c>
      <c r="B67" s="9" t="b">
        <v>0</v>
      </c>
      <c r="C67" s="10" t="s">
        <v>18</v>
      </c>
      <c r="D67" s="11">
        <v>2000</v>
      </c>
      <c r="E67" s="12">
        <v>15</v>
      </c>
      <c r="F67" s="11">
        <f>D67-W67</f>
        <v>1998.6340797338178</v>
      </c>
      <c r="G67" s="19" t="s">
        <v>31</v>
      </c>
      <c r="H67" s="20">
        <v>-22.5446931</v>
      </c>
      <c r="I67" s="20">
        <v>150.51969260000001</v>
      </c>
      <c r="J67" s="23">
        <v>250</v>
      </c>
      <c r="K67" t="s">
        <v>32</v>
      </c>
      <c r="L67" t="s">
        <v>33</v>
      </c>
      <c r="M67" t="s">
        <v>33</v>
      </c>
      <c r="N67" t="s">
        <v>240</v>
      </c>
      <c r="O67" t="s">
        <v>217</v>
      </c>
      <c r="P67" t="s">
        <v>219</v>
      </c>
      <c r="Q67" s="21">
        <v>446</v>
      </c>
      <c r="R67" s="21">
        <v>355</v>
      </c>
      <c r="S67" s="21">
        <v>21</v>
      </c>
      <c r="T67" s="21">
        <v>21</v>
      </c>
      <c r="U67" s="11">
        <f>R67/0.2</f>
        <v>1775</v>
      </c>
      <c r="V67" s="54" t="s">
        <v>28</v>
      </c>
      <c r="W67" s="16">
        <f>(-LN(1-(U67/4090))/0.31)-0.47</f>
        <v>1.3659202661822998</v>
      </c>
    </row>
    <row r="68" spans="1:23" ht="17" x14ac:dyDescent="0.2">
      <c r="A68" s="28" t="s">
        <v>101</v>
      </c>
      <c r="B68" s="9" t="b">
        <v>0</v>
      </c>
      <c r="C68" s="10" t="s">
        <v>18</v>
      </c>
      <c r="D68" s="11">
        <v>2000</v>
      </c>
      <c r="E68" s="12">
        <v>15</v>
      </c>
      <c r="F68" s="11">
        <f>D68-W68</f>
        <v>1997.0166509769319</v>
      </c>
      <c r="G68" s="19" t="s">
        <v>31</v>
      </c>
      <c r="H68" s="25">
        <v>-21.3576199</v>
      </c>
      <c r="I68" s="25">
        <v>149.8260889</v>
      </c>
      <c r="J68" s="23">
        <v>250</v>
      </c>
      <c r="K68" t="s">
        <v>32</v>
      </c>
      <c r="L68" t="s">
        <v>33</v>
      </c>
      <c r="M68" t="s">
        <v>33</v>
      </c>
      <c r="N68" t="s">
        <v>240</v>
      </c>
      <c r="O68" t="s">
        <v>217</v>
      </c>
      <c r="P68" t="s">
        <v>219</v>
      </c>
      <c r="Q68" s="21">
        <v>662</v>
      </c>
      <c r="R68" s="21">
        <v>565</v>
      </c>
      <c r="S68" s="21">
        <v>23</v>
      </c>
      <c r="T68" s="21">
        <v>24</v>
      </c>
      <c r="U68" s="11">
        <f>4.89*R68-75</f>
        <v>2687.85</v>
      </c>
      <c r="V68" s="54" t="s">
        <v>22</v>
      </c>
      <c r="W68" s="16">
        <f>(-LN(1-(U68/4090))/0.31)-0.47</f>
        <v>2.9833490230679676</v>
      </c>
    </row>
    <row r="69" spans="1:23" ht="17" x14ac:dyDescent="0.2">
      <c r="A69" s="34" t="s">
        <v>102</v>
      </c>
      <c r="B69" s="9" t="b">
        <v>0</v>
      </c>
      <c r="C69" s="18" t="s">
        <v>30</v>
      </c>
      <c r="D69" s="11">
        <v>2000</v>
      </c>
      <c r="E69" s="12">
        <v>15</v>
      </c>
      <c r="F69" s="11">
        <f>D69-W69</f>
        <v>1998.5612654733268</v>
      </c>
      <c r="G69" s="19" t="s">
        <v>31</v>
      </c>
      <c r="H69" s="20">
        <v>-21.599336900000001</v>
      </c>
      <c r="I69" s="20">
        <v>150.2129401</v>
      </c>
      <c r="J69">
        <v>250</v>
      </c>
      <c r="K69" t="s">
        <v>32</v>
      </c>
      <c r="L69" t="s">
        <v>33</v>
      </c>
      <c r="M69" t="s">
        <v>33</v>
      </c>
      <c r="N69" t="s">
        <v>240</v>
      </c>
      <c r="O69" t="s">
        <v>217</v>
      </c>
      <c r="P69" t="s">
        <v>219</v>
      </c>
      <c r="Q69" s="21">
        <v>366</v>
      </c>
      <c r="R69" s="21">
        <v>346</v>
      </c>
      <c r="S69" s="14">
        <v>27</v>
      </c>
      <c r="T69" s="14">
        <v>27</v>
      </c>
      <c r="U69" s="11">
        <f>3.843*R69+98</f>
        <v>1427.6779999999999</v>
      </c>
      <c r="V69" s="54" t="s">
        <v>28</v>
      </c>
      <c r="W69" s="16">
        <f>(-LN(1-(U69/5400))-0.1344)/0.12</f>
        <v>1.4387345266732194</v>
      </c>
    </row>
    <row r="70" spans="1:23" ht="17" x14ac:dyDescent="0.2">
      <c r="A70" s="28" t="s">
        <v>103</v>
      </c>
      <c r="B70" s="9" t="b">
        <v>0</v>
      </c>
      <c r="C70" s="10" t="s">
        <v>18</v>
      </c>
      <c r="D70" s="11">
        <v>2000</v>
      </c>
      <c r="E70" s="12">
        <v>15</v>
      </c>
      <c r="F70" s="11">
        <f>D70-W70</f>
        <v>1998.6271050144483</v>
      </c>
      <c r="G70" s="19" t="s">
        <v>31</v>
      </c>
      <c r="H70" s="20">
        <v>-21.9378049</v>
      </c>
      <c r="I70" s="20">
        <v>149.90692150000001</v>
      </c>
      <c r="J70" s="23">
        <v>250</v>
      </c>
      <c r="K70" t="s">
        <v>32</v>
      </c>
      <c r="L70" t="s">
        <v>33</v>
      </c>
      <c r="M70" t="s">
        <v>33</v>
      </c>
      <c r="N70" t="s">
        <v>240</v>
      </c>
      <c r="O70" t="s">
        <v>217</v>
      </c>
      <c r="P70" t="s">
        <v>219</v>
      </c>
      <c r="Q70" s="14">
        <v>438</v>
      </c>
      <c r="R70" s="14">
        <v>356</v>
      </c>
      <c r="S70" s="21">
        <v>24</v>
      </c>
      <c r="T70" s="21">
        <v>21</v>
      </c>
      <c r="U70" s="11">
        <f>R70/0.2</f>
        <v>1780</v>
      </c>
      <c r="V70" s="54" t="s">
        <v>28</v>
      </c>
      <c r="W70" s="16">
        <f>(-LN(1-(U70/4090))/0.31)-0.47</f>
        <v>1.3728949855516395</v>
      </c>
    </row>
    <row r="71" spans="1:23" ht="17" x14ac:dyDescent="0.2">
      <c r="A71" s="28" t="s">
        <v>104</v>
      </c>
      <c r="B71" s="9" t="b">
        <v>0</v>
      </c>
      <c r="C71" s="10" t="s">
        <v>18</v>
      </c>
      <c r="D71" s="11">
        <v>2000</v>
      </c>
      <c r="E71" s="12">
        <v>15</v>
      </c>
      <c r="F71" s="11">
        <f>D71-W71</f>
        <v>1998.8300528383534</v>
      </c>
      <c r="G71" s="19" t="s">
        <v>31</v>
      </c>
      <c r="H71" s="20">
        <v>-19.9395381</v>
      </c>
      <c r="I71" s="20">
        <v>148.35070529999999</v>
      </c>
      <c r="J71" s="23">
        <v>250</v>
      </c>
      <c r="K71" t="s">
        <v>32</v>
      </c>
      <c r="L71" t="s">
        <v>33</v>
      </c>
      <c r="M71" t="s">
        <v>33</v>
      </c>
      <c r="N71" t="s">
        <v>240</v>
      </c>
      <c r="O71" t="s">
        <v>217</v>
      </c>
      <c r="P71" t="s">
        <v>224</v>
      </c>
      <c r="Q71" s="21">
        <v>429</v>
      </c>
      <c r="R71" s="21">
        <v>326</v>
      </c>
      <c r="S71" s="21">
        <v>20</v>
      </c>
      <c r="T71" s="21">
        <v>20</v>
      </c>
      <c r="U71" s="11">
        <f>R71/0.2</f>
        <v>1630</v>
      </c>
      <c r="V71" s="54" t="s">
        <v>28</v>
      </c>
      <c r="W71" s="16">
        <f>(-LN(1-(U71/4090))/0.31)-0.47</f>
        <v>1.1699471616465771</v>
      </c>
    </row>
    <row r="72" spans="1:23" ht="17" x14ac:dyDescent="0.2">
      <c r="A72" s="8" t="s">
        <v>105</v>
      </c>
      <c r="B72" s="9" t="b">
        <v>0</v>
      </c>
      <c r="C72" s="10" t="s">
        <v>18</v>
      </c>
      <c r="D72" s="11">
        <v>2000</v>
      </c>
      <c r="E72" s="12">
        <v>15</v>
      </c>
      <c r="F72" s="11">
        <f>D72-W72</f>
        <v>1999.2934163939303</v>
      </c>
      <c r="G72" s="19" t="s">
        <v>31</v>
      </c>
      <c r="H72" s="20">
        <v>-21.7117848</v>
      </c>
      <c r="I72" s="20">
        <v>149.82443219999999</v>
      </c>
      <c r="J72" s="23">
        <v>250</v>
      </c>
      <c r="K72" t="s">
        <v>32</v>
      </c>
      <c r="L72" t="s">
        <v>33</v>
      </c>
      <c r="M72" t="s">
        <v>33</v>
      </c>
      <c r="N72" t="s">
        <v>240</v>
      </c>
      <c r="O72" t="s">
        <v>217</v>
      </c>
      <c r="P72" t="s">
        <v>219</v>
      </c>
      <c r="Q72" s="21">
        <v>312</v>
      </c>
      <c r="R72" s="21">
        <v>250</v>
      </c>
      <c r="S72" s="21">
        <v>20</v>
      </c>
      <c r="T72" s="21">
        <v>21</v>
      </c>
      <c r="U72" s="11">
        <f>R72/0.2</f>
        <v>1250</v>
      </c>
      <c r="V72" s="54" t="s">
        <v>35</v>
      </c>
      <c r="W72" s="16">
        <f>(-LN(1-(U72/4090))/0.31)-0.47</f>
        <v>0.70658360606966375</v>
      </c>
    </row>
    <row r="73" spans="1:23" ht="17" x14ac:dyDescent="0.2">
      <c r="A73" s="28" t="s">
        <v>106</v>
      </c>
      <c r="B73" s="9" t="b">
        <v>0</v>
      </c>
      <c r="C73" s="10" t="s">
        <v>18</v>
      </c>
      <c r="D73" s="11">
        <v>2000</v>
      </c>
      <c r="E73" s="12">
        <v>15</v>
      </c>
      <c r="F73" s="11">
        <f>D73-W73</f>
        <v>1998.7436718090587</v>
      </c>
      <c r="G73" s="19" t="s">
        <v>31</v>
      </c>
      <c r="H73" s="20">
        <v>-21.551965800000001</v>
      </c>
      <c r="I73" s="20">
        <v>149.7130554</v>
      </c>
      <c r="J73" s="23">
        <v>250</v>
      </c>
      <c r="K73" t="s">
        <v>32</v>
      </c>
      <c r="L73" t="s">
        <v>33</v>
      </c>
      <c r="M73" t="s">
        <v>33</v>
      </c>
      <c r="N73" t="s">
        <v>240</v>
      </c>
      <c r="O73" t="s">
        <v>217</v>
      </c>
      <c r="P73" t="s">
        <v>219</v>
      </c>
      <c r="Q73" s="21">
        <v>412</v>
      </c>
      <c r="R73" s="21">
        <v>339</v>
      </c>
      <c r="S73" s="21">
        <v>22</v>
      </c>
      <c r="T73" s="21">
        <v>20</v>
      </c>
      <c r="U73" s="11">
        <f>R73/0.2</f>
        <v>1695</v>
      </c>
      <c r="V73" s="54" t="s">
        <v>28</v>
      </c>
      <c r="W73" s="16">
        <f>(-LN(1-(U73/4090))/0.31)-0.47</f>
        <v>1.256328190941393</v>
      </c>
    </row>
    <row r="74" spans="1:23" ht="17" x14ac:dyDescent="0.2">
      <c r="A74" s="28" t="s">
        <v>107</v>
      </c>
      <c r="B74" s="9" t="b">
        <v>0</v>
      </c>
      <c r="C74" s="10" t="s">
        <v>18</v>
      </c>
      <c r="D74" s="11">
        <v>2000</v>
      </c>
      <c r="E74" s="12">
        <v>15</v>
      </c>
      <c r="F74" s="11">
        <f>D74-W74</f>
        <v>1998.5061675663339</v>
      </c>
      <c r="G74" s="19" t="s">
        <v>31</v>
      </c>
      <c r="H74" s="25">
        <v>-21.967799899999999</v>
      </c>
      <c r="I74" s="25">
        <v>149.73129689999999</v>
      </c>
      <c r="J74" s="23">
        <v>250</v>
      </c>
      <c r="K74" t="s">
        <v>32</v>
      </c>
      <c r="L74" t="s">
        <v>33</v>
      </c>
      <c r="M74" t="s">
        <v>33</v>
      </c>
      <c r="N74" t="s">
        <v>240</v>
      </c>
      <c r="O74" t="s">
        <v>217</v>
      </c>
      <c r="P74" t="s">
        <v>219</v>
      </c>
      <c r="Q74" s="27">
        <v>454</v>
      </c>
      <c r="R74" s="27">
        <v>373</v>
      </c>
      <c r="S74" s="21">
        <v>21</v>
      </c>
      <c r="T74" s="21">
        <v>20</v>
      </c>
      <c r="U74" s="11">
        <f>R74/0.2</f>
        <v>1865</v>
      </c>
      <c r="V74" s="54" t="s">
        <v>28</v>
      </c>
      <c r="W74" s="16">
        <f>(-LN(1-(U74/4090))/0.31)-0.47</f>
        <v>1.4938324336661513</v>
      </c>
    </row>
    <row r="75" spans="1:23" ht="17" x14ac:dyDescent="0.2">
      <c r="A75" s="28" t="s">
        <v>108</v>
      </c>
      <c r="B75" s="9" t="b">
        <v>0</v>
      </c>
      <c r="C75" s="10" t="s">
        <v>18</v>
      </c>
      <c r="D75" s="11">
        <v>2000</v>
      </c>
      <c r="E75" s="12">
        <v>15</v>
      </c>
      <c r="F75" s="11">
        <f>D75-W75</f>
        <v>1998.6271050144483</v>
      </c>
      <c r="G75" s="19" t="s">
        <v>31</v>
      </c>
      <c r="H75" s="20">
        <v>-22.224836799999999</v>
      </c>
      <c r="I75" s="20">
        <v>149.74731729999999</v>
      </c>
      <c r="J75" s="23">
        <v>250</v>
      </c>
      <c r="K75" t="s">
        <v>32</v>
      </c>
      <c r="L75" t="s">
        <v>33</v>
      </c>
      <c r="M75" t="s">
        <v>33</v>
      </c>
      <c r="N75" t="s">
        <v>240</v>
      </c>
      <c r="O75" t="s">
        <v>217</v>
      </c>
      <c r="P75" t="s">
        <v>219</v>
      </c>
      <c r="Q75" s="21">
        <v>452</v>
      </c>
      <c r="R75" s="21">
        <v>356</v>
      </c>
      <c r="S75" s="21">
        <v>18</v>
      </c>
      <c r="T75" s="21">
        <v>20</v>
      </c>
      <c r="U75" s="11">
        <f>R75/0.2</f>
        <v>1780</v>
      </c>
      <c r="V75" s="54" t="s">
        <v>28</v>
      </c>
      <c r="W75" s="16">
        <f>(-LN(1-(U75/4090))/0.31)-0.47</f>
        <v>1.3728949855516395</v>
      </c>
    </row>
    <row r="76" spans="1:23" ht="17" x14ac:dyDescent="0.2">
      <c r="A76" s="28" t="s">
        <v>109</v>
      </c>
      <c r="B76" s="9" t="b">
        <v>0</v>
      </c>
      <c r="C76" s="10" t="s">
        <v>18</v>
      </c>
      <c r="D76" s="11">
        <v>2000</v>
      </c>
      <c r="E76" s="12">
        <v>15</v>
      </c>
      <c r="F76" s="11">
        <f>D76-W76</f>
        <v>1998.7771695810125</v>
      </c>
      <c r="G76" s="19" t="s">
        <v>31</v>
      </c>
      <c r="H76" s="20">
        <v>-22.538420800000001</v>
      </c>
      <c r="I76" s="20">
        <v>150.81004720000001</v>
      </c>
      <c r="J76" s="23">
        <v>250</v>
      </c>
      <c r="K76" t="s">
        <v>32</v>
      </c>
      <c r="L76" t="s">
        <v>33</v>
      </c>
      <c r="M76" t="s">
        <v>33</v>
      </c>
      <c r="N76" t="s">
        <v>240</v>
      </c>
      <c r="O76" t="s">
        <v>217</v>
      </c>
      <c r="P76" t="s">
        <v>219</v>
      </c>
      <c r="Q76" s="14">
        <v>413</v>
      </c>
      <c r="R76" s="14">
        <v>334</v>
      </c>
      <c r="S76" s="21">
        <v>21</v>
      </c>
      <c r="T76" s="21">
        <v>20</v>
      </c>
      <c r="U76" s="11">
        <f>R76/0.2</f>
        <v>1670</v>
      </c>
      <c r="V76" s="54" t="s">
        <v>28</v>
      </c>
      <c r="W76" s="16">
        <f>(-LN(1-(U76/4090))/0.31)-0.47</f>
        <v>1.2228304189874692</v>
      </c>
    </row>
    <row r="77" spans="1:23" ht="17" x14ac:dyDescent="0.2">
      <c r="A77" s="28" t="s">
        <v>110</v>
      </c>
      <c r="B77" s="9" t="b">
        <v>0</v>
      </c>
      <c r="C77" s="10" t="s">
        <v>18</v>
      </c>
      <c r="D77" s="11">
        <v>2000</v>
      </c>
      <c r="E77" s="12">
        <v>15</v>
      </c>
      <c r="F77" s="11">
        <f>D77-W77</f>
        <v>1998.5025410269393</v>
      </c>
      <c r="G77" s="19" t="s">
        <v>31</v>
      </c>
      <c r="H77" s="25">
        <v>-22.169036699999999</v>
      </c>
      <c r="I77" s="25">
        <v>150.3296489</v>
      </c>
      <c r="J77" s="23">
        <v>250</v>
      </c>
      <c r="K77" t="s">
        <v>32</v>
      </c>
      <c r="L77" t="s">
        <v>33</v>
      </c>
      <c r="M77" t="s">
        <v>33</v>
      </c>
      <c r="N77" t="s">
        <v>240</v>
      </c>
      <c r="O77" t="s">
        <v>217</v>
      </c>
      <c r="P77" t="s">
        <v>219</v>
      </c>
      <c r="Q77" s="27">
        <v>443</v>
      </c>
      <c r="R77" s="27">
        <v>373.5</v>
      </c>
      <c r="S77" s="21">
        <v>23</v>
      </c>
      <c r="T77" s="21">
        <v>22</v>
      </c>
      <c r="U77" s="11">
        <f>R77/0.2</f>
        <v>1867.5</v>
      </c>
      <c r="V77" s="54" t="s">
        <v>28</v>
      </c>
      <c r="W77" s="16">
        <f>(-LN(1-(U77/4090))/0.31)-0.47</f>
        <v>1.4974589730606056</v>
      </c>
    </row>
    <row r="78" spans="1:23" ht="17" x14ac:dyDescent="0.2">
      <c r="A78" s="35" t="s">
        <v>111</v>
      </c>
      <c r="B78" s="9" t="b">
        <v>0</v>
      </c>
      <c r="C78" s="18" t="s">
        <v>30</v>
      </c>
      <c r="D78" s="11">
        <v>2002</v>
      </c>
      <c r="E78" s="12">
        <v>2.5</v>
      </c>
      <c r="F78" s="11">
        <f>D78-W78</f>
        <v>1992.1041236942913</v>
      </c>
      <c r="G78" s="36" t="s">
        <v>112</v>
      </c>
      <c r="H78" s="33">
        <f>-22.120007</f>
        <v>-22.120007000000001</v>
      </c>
      <c r="I78" s="33">
        <v>150.05362299999999</v>
      </c>
      <c r="J78" s="23">
        <v>5</v>
      </c>
      <c r="K78" t="s">
        <v>113</v>
      </c>
      <c r="L78" t="s">
        <v>33</v>
      </c>
      <c r="M78" t="s">
        <v>33</v>
      </c>
      <c r="N78" t="s">
        <v>238</v>
      </c>
      <c r="O78" t="s">
        <v>217</v>
      </c>
      <c r="P78" t="s">
        <v>219</v>
      </c>
      <c r="Q78" s="21">
        <v>1077</v>
      </c>
      <c r="R78" s="21">
        <v>1005</v>
      </c>
      <c r="S78" s="21">
        <v>26</v>
      </c>
      <c r="T78" s="21">
        <v>26</v>
      </c>
      <c r="U78" s="11">
        <f>3.843*R78+98</f>
        <v>3960.2150000000001</v>
      </c>
      <c r="V78" s="54" t="s">
        <v>22</v>
      </c>
      <c r="W78" s="16">
        <f>(-LN(1-(U78/5400))-0.1344)/0.12</f>
        <v>9.8958763057088248</v>
      </c>
    </row>
    <row r="79" spans="1:23" ht="17" x14ac:dyDescent="0.2">
      <c r="A79" s="35" t="s">
        <v>114</v>
      </c>
      <c r="B79" s="9" t="b">
        <v>0</v>
      </c>
      <c r="C79" s="18" t="s">
        <v>30</v>
      </c>
      <c r="D79" s="11">
        <v>2002</v>
      </c>
      <c r="E79" s="12">
        <v>2.5</v>
      </c>
      <c r="F79" s="11">
        <f>D79-W79</f>
        <v>1991.924253146454</v>
      </c>
      <c r="G79" s="36" t="s">
        <v>112</v>
      </c>
      <c r="H79" s="33">
        <v>-22.116119999999999</v>
      </c>
      <c r="I79" s="33">
        <v>150.07671999999999</v>
      </c>
      <c r="J79" s="23">
        <v>5</v>
      </c>
      <c r="K79" t="s">
        <v>113</v>
      </c>
      <c r="L79" t="s">
        <v>33</v>
      </c>
      <c r="M79" t="s">
        <v>33</v>
      </c>
      <c r="N79" t="s">
        <v>238</v>
      </c>
      <c r="O79" t="s">
        <v>217</v>
      </c>
      <c r="P79" t="s">
        <v>219</v>
      </c>
      <c r="Q79" s="21">
        <v>1032</v>
      </c>
      <c r="R79" s="21">
        <v>1013</v>
      </c>
      <c r="S79" s="21">
        <v>27</v>
      </c>
      <c r="T79" s="21">
        <v>26</v>
      </c>
      <c r="U79" s="11">
        <f>3.843*R79+98</f>
        <v>3990.9589999999998</v>
      </c>
      <c r="V79" s="54" t="s">
        <v>22</v>
      </c>
      <c r="W79" s="16">
        <f>(-LN(1-(U79/5400))-0.1344)/0.12</f>
        <v>10.075746853545976</v>
      </c>
    </row>
    <row r="80" spans="1:23" ht="17" x14ac:dyDescent="0.2">
      <c r="A80" s="28" t="s">
        <v>115</v>
      </c>
      <c r="B80" s="9" t="b">
        <v>0</v>
      </c>
      <c r="C80" s="10" t="s">
        <v>18</v>
      </c>
      <c r="D80" s="11">
        <v>2000</v>
      </c>
      <c r="E80" s="12">
        <v>15</v>
      </c>
      <c r="F80" s="11">
        <f>D80-W80</f>
        <v>1997.9983815162861</v>
      </c>
      <c r="G80" s="19" t="s">
        <v>31</v>
      </c>
      <c r="H80" s="20">
        <v>-21.990259699999999</v>
      </c>
      <c r="I80" s="20">
        <v>150.57270199999999</v>
      </c>
      <c r="J80" s="23">
        <v>250</v>
      </c>
      <c r="K80" t="s">
        <v>32</v>
      </c>
      <c r="L80" t="s">
        <v>33</v>
      </c>
      <c r="M80" t="s">
        <v>33</v>
      </c>
      <c r="N80" t="s">
        <v>240</v>
      </c>
      <c r="O80" t="s">
        <v>217</v>
      </c>
      <c r="P80" t="s">
        <v>219</v>
      </c>
      <c r="Q80" s="21"/>
      <c r="R80" s="21">
        <v>463</v>
      </c>
      <c r="S80" s="27">
        <v>23</v>
      </c>
      <c r="T80" s="27">
        <v>22</v>
      </c>
      <c r="U80" s="11">
        <f>4.89*R80-75</f>
        <v>2189.0699999999997</v>
      </c>
      <c r="V80" s="54" t="s">
        <v>22</v>
      </c>
      <c r="W80" s="16">
        <f>(-LN(1-(U80/4090))/0.31)-0.47</f>
        <v>2.0016184837137834</v>
      </c>
    </row>
    <row r="81" spans="1:24" ht="17" x14ac:dyDescent="0.2">
      <c r="A81" s="8" t="s">
        <v>116</v>
      </c>
      <c r="B81" s="9" t="b">
        <v>0</v>
      </c>
      <c r="C81" s="10" t="s">
        <v>18</v>
      </c>
      <c r="D81" s="11">
        <v>2000</v>
      </c>
      <c r="E81" s="12">
        <v>15</v>
      </c>
      <c r="F81" s="11">
        <f>D81-W81</f>
        <v>1996.3296790932889</v>
      </c>
      <c r="G81" s="19" t="s">
        <v>31</v>
      </c>
      <c r="H81" s="20">
        <v>-21.705391899999999</v>
      </c>
      <c r="I81" s="20">
        <v>149.732193</v>
      </c>
      <c r="J81">
        <v>250</v>
      </c>
      <c r="K81" t="s">
        <v>32</v>
      </c>
      <c r="L81" t="s">
        <v>33</v>
      </c>
      <c r="M81" t="s">
        <v>33</v>
      </c>
      <c r="N81" t="s">
        <v>240</v>
      </c>
      <c r="O81" t="s">
        <v>217</v>
      </c>
      <c r="P81" t="s">
        <v>219</v>
      </c>
      <c r="Q81" s="21">
        <v>732</v>
      </c>
      <c r="R81" s="21">
        <v>620</v>
      </c>
      <c r="S81" s="21">
        <v>24</v>
      </c>
      <c r="T81" s="21">
        <v>22</v>
      </c>
      <c r="U81" s="11">
        <f>4.89*R81-75</f>
        <v>2956.7999999999997</v>
      </c>
      <c r="V81" s="54" t="s">
        <v>22</v>
      </c>
      <c r="W81" s="16">
        <f>(-LN(1-(U81/4090))/0.31)-0.47</f>
        <v>3.6703209067112441</v>
      </c>
    </row>
    <row r="82" spans="1:24" ht="17" x14ac:dyDescent="0.2">
      <c r="A82" s="8" t="s">
        <v>117</v>
      </c>
      <c r="B82" s="9" t="b">
        <v>0</v>
      </c>
      <c r="C82" s="10" t="s">
        <v>18</v>
      </c>
      <c r="D82" s="11">
        <v>2000</v>
      </c>
      <c r="E82" s="12">
        <v>15</v>
      </c>
      <c r="F82" s="11">
        <f>D82-W82</f>
        <v>1998.3880470397589</v>
      </c>
      <c r="G82" s="19" t="s">
        <v>31</v>
      </c>
      <c r="H82" s="20">
        <v>-20.072592</v>
      </c>
      <c r="I82" s="20">
        <v>148.6353732</v>
      </c>
      <c r="J82">
        <v>250</v>
      </c>
      <c r="K82" t="s">
        <v>32</v>
      </c>
      <c r="L82" t="s">
        <v>33</v>
      </c>
      <c r="M82" t="s">
        <v>33</v>
      </c>
      <c r="N82" t="s">
        <v>240</v>
      </c>
      <c r="O82" t="s">
        <v>217</v>
      </c>
      <c r="P82" t="s">
        <v>219</v>
      </c>
      <c r="Q82" s="21">
        <v>464</v>
      </c>
      <c r="R82" s="21">
        <v>389</v>
      </c>
      <c r="S82" s="21">
        <v>23</v>
      </c>
      <c r="T82" s="21">
        <v>24</v>
      </c>
      <c r="U82" s="11">
        <f>R82/0.2</f>
        <v>1945</v>
      </c>
      <c r="V82" s="54" t="s">
        <v>28</v>
      </c>
      <c r="W82" s="16">
        <f>(-LN(1-(U82/4090))/0.31)-0.47</f>
        <v>1.6119529602410647</v>
      </c>
    </row>
    <row r="83" spans="1:24" ht="17" x14ac:dyDescent="0.2">
      <c r="A83" s="8" t="s">
        <v>118</v>
      </c>
      <c r="B83" s="9" t="b">
        <v>0</v>
      </c>
      <c r="C83" s="31" t="s">
        <v>18</v>
      </c>
      <c r="D83" s="11">
        <v>2000</v>
      </c>
      <c r="E83" s="12">
        <v>15</v>
      </c>
      <c r="F83" s="11">
        <f>D83-W83</f>
        <v>1998.1680986271908</v>
      </c>
      <c r="G83" s="19" t="s">
        <v>31</v>
      </c>
      <c r="H83" s="25">
        <v>-21.714006999999999</v>
      </c>
      <c r="I83" s="25">
        <v>149.63224399999999</v>
      </c>
      <c r="J83">
        <v>250</v>
      </c>
      <c r="K83" t="s">
        <v>32</v>
      </c>
      <c r="L83" t="s">
        <v>33</v>
      </c>
      <c r="M83" t="s">
        <v>33</v>
      </c>
      <c r="N83" t="s">
        <v>240</v>
      </c>
      <c r="O83" t="s">
        <v>217</v>
      </c>
      <c r="P83" t="s">
        <v>219</v>
      </c>
      <c r="Q83" s="21">
        <v>561</v>
      </c>
      <c r="R83" s="21">
        <v>442</v>
      </c>
      <c r="S83" s="21">
        <v>20</v>
      </c>
      <c r="T83" s="21">
        <v>20</v>
      </c>
      <c r="U83" s="11">
        <f>4.89*R83-75</f>
        <v>2086.3799999999997</v>
      </c>
      <c r="V83" s="54" t="s">
        <v>79</v>
      </c>
      <c r="W83" s="16">
        <f>(-LN(1-(U83/4090))/0.31)-0.47</f>
        <v>1.8319013728092381</v>
      </c>
    </row>
    <row r="84" spans="1:24" ht="17" x14ac:dyDescent="0.2">
      <c r="A84" s="28" t="s">
        <v>119</v>
      </c>
      <c r="B84" s="9" t="b">
        <v>0</v>
      </c>
      <c r="C84" s="10" t="s">
        <v>18</v>
      </c>
      <c r="D84" s="11">
        <v>2000</v>
      </c>
      <c r="E84" s="12">
        <v>15</v>
      </c>
      <c r="F84" s="11">
        <f>D84-W84</f>
        <v>1997.2236173218125</v>
      </c>
      <c r="G84" s="19" t="s">
        <v>31</v>
      </c>
      <c r="H84" s="25">
        <v>-21.661433800000001</v>
      </c>
      <c r="I84" s="25">
        <v>150.14626469999999</v>
      </c>
      <c r="J84" s="23">
        <v>250</v>
      </c>
      <c r="K84" t="s">
        <v>32</v>
      </c>
      <c r="L84" t="s">
        <v>33</v>
      </c>
      <c r="M84" t="s">
        <v>33</v>
      </c>
      <c r="N84" t="s">
        <v>240</v>
      </c>
      <c r="O84" t="s">
        <v>217</v>
      </c>
      <c r="P84" t="s">
        <v>219</v>
      </c>
      <c r="Q84" s="21">
        <v>664</v>
      </c>
      <c r="R84" s="21">
        <v>546</v>
      </c>
      <c r="S84" s="21">
        <v>24</v>
      </c>
      <c r="T84" s="21">
        <v>23</v>
      </c>
      <c r="U84" s="11">
        <f>4.89*R84-75</f>
        <v>2594.9399999999996</v>
      </c>
      <c r="V84" s="54" t="s">
        <v>22</v>
      </c>
      <c r="W84" s="16">
        <f>(-LN(1-(U84/4090))/0.31)-0.47</f>
        <v>2.7763826781875318</v>
      </c>
    </row>
    <row r="85" spans="1:24" ht="17" x14ac:dyDescent="0.2">
      <c r="A85" s="8" t="s">
        <v>120</v>
      </c>
      <c r="B85" s="9" t="b">
        <v>0</v>
      </c>
      <c r="C85" s="18" t="s">
        <v>30</v>
      </c>
      <c r="D85" s="11">
        <v>2000</v>
      </c>
      <c r="E85" s="12">
        <v>15</v>
      </c>
      <c r="F85" s="11">
        <f>D85-W85</f>
        <v>1998.8854217331559</v>
      </c>
      <c r="G85" s="19" t="s">
        <v>31</v>
      </c>
      <c r="H85" s="20">
        <v>-22.385680499999999</v>
      </c>
      <c r="I85" s="20">
        <v>150.40082039999999</v>
      </c>
      <c r="J85">
        <v>250</v>
      </c>
      <c r="K85" t="s">
        <v>32</v>
      </c>
      <c r="L85" t="s">
        <v>33</v>
      </c>
      <c r="M85" t="s">
        <v>33</v>
      </c>
      <c r="N85" t="s">
        <v>240</v>
      </c>
      <c r="O85" t="s">
        <v>217</v>
      </c>
      <c r="P85" t="s">
        <v>219</v>
      </c>
      <c r="Q85" s="21">
        <v>313</v>
      </c>
      <c r="R85" s="21">
        <v>305</v>
      </c>
      <c r="S85" s="21">
        <v>27</v>
      </c>
      <c r="T85" s="21">
        <v>25</v>
      </c>
      <c r="U85" s="11">
        <f>3.843*R85+98</f>
        <v>1270.115</v>
      </c>
      <c r="V85" s="54" t="s">
        <v>28</v>
      </c>
      <c r="W85" s="16">
        <f>(-LN(1-(U85/5400))-0.1344)/0.12</f>
        <v>1.11457826684406</v>
      </c>
    </row>
    <row r="86" spans="1:24" ht="17" x14ac:dyDescent="0.2">
      <c r="A86" s="8" t="s">
        <v>121</v>
      </c>
      <c r="B86" s="9" t="b">
        <v>1</v>
      </c>
      <c r="C86" s="31" t="s">
        <v>30</v>
      </c>
      <c r="D86" s="11">
        <v>2000</v>
      </c>
      <c r="E86" s="12">
        <v>15</v>
      </c>
      <c r="F86" s="11">
        <f>D86-W86</f>
        <v>1997.5602186050296</v>
      </c>
      <c r="G86" s="19" t="s">
        <v>31</v>
      </c>
      <c r="H86" s="20">
        <v>-21.977446</v>
      </c>
      <c r="I86" s="20">
        <v>149.88293419999999</v>
      </c>
      <c r="J86">
        <v>250</v>
      </c>
      <c r="K86" t="s">
        <v>32</v>
      </c>
      <c r="L86" t="s">
        <v>33</v>
      </c>
      <c r="M86" t="s">
        <v>33</v>
      </c>
      <c r="N86" t="s">
        <v>240</v>
      </c>
      <c r="O86" t="s">
        <v>217</v>
      </c>
      <c r="P86" t="s">
        <v>219</v>
      </c>
      <c r="Q86" s="21">
        <v>486</v>
      </c>
      <c r="R86" s="21">
        <v>463</v>
      </c>
      <c r="S86" s="21">
        <v>25</v>
      </c>
      <c r="T86" s="21">
        <v>25</v>
      </c>
      <c r="U86" s="11">
        <f>3.843*R86+98</f>
        <v>1877.309</v>
      </c>
      <c r="V86" s="54" t="s">
        <v>28</v>
      </c>
      <c r="W86" s="16">
        <f>(-LN(1-(U86/5400))-0.1344)/0.12</f>
        <v>2.4397813949704084</v>
      </c>
    </row>
    <row r="87" spans="1:24" ht="17" x14ac:dyDescent="0.2">
      <c r="A87" s="8" t="s">
        <v>122</v>
      </c>
      <c r="B87" s="9" t="b">
        <v>0</v>
      </c>
      <c r="C87" s="18" t="s">
        <v>30</v>
      </c>
      <c r="D87" s="11">
        <v>2000</v>
      </c>
      <c r="E87" s="12">
        <v>15</v>
      </c>
      <c r="F87" s="11">
        <f>D87-W87</f>
        <v>1998.8153377729986</v>
      </c>
      <c r="G87" s="19" t="s">
        <v>31</v>
      </c>
      <c r="H87" s="20">
        <v>-21.7729198</v>
      </c>
      <c r="I87" s="20">
        <v>149.69601549999999</v>
      </c>
      <c r="J87">
        <v>250</v>
      </c>
      <c r="K87" t="s">
        <v>32</v>
      </c>
      <c r="L87" t="s">
        <v>33</v>
      </c>
      <c r="M87" t="s">
        <v>33</v>
      </c>
      <c r="N87" t="s">
        <v>240</v>
      </c>
      <c r="O87" t="s">
        <v>217</v>
      </c>
      <c r="P87" t="s">
        <v>219</v>
      </c>
      <c r="Q87" s="21">
        <v>328</v>
      </c>
      <c r="R87" s="21">
        <v>314</v>
      </c>
      <c r="S87" s="21">
        <v>27</v>
      </c>
      <c r="T87" s="21">
        <v>25</v>
      </c>
      <c r="U87" s="11">
        <f>3.843*R87+98</f>
        <v>1304.702</v>
      </c>
      <c r="V87" s="54" t="s">
        <v>28</v>
      </c>
      <c r="W87" s="16">
        <f>(-LN(1-(U87/5400))-0.1344)/0.12</f>
        <v>1.1846622270012834</v>
      </c>
    </row>
    <row r="88" spans="1:24" ht="17" x14ac:dyDescent="0.2">
      <c r="A88" s="8" t="s">
        <v>123</v>
      </c>
      <c r="B88" s="9" t="b">
        <v>0</v>
      </c>
      <c r="C88" s="18" t="s">
        <v>30</v>
      </c>
      <c r="D88" s="11">
        <v>2000</v>
      </c>
      <c r="E88" s="12">
        <v>15</v>
      </c>
      <c r="F88" s="11">
        <f>D88-W88</f>
        <v>1997.6055503896628</v>
      </c>
      <c r="G88" s="19" t="s">
        <v>31</v>
      </c>
      <c r="H88" s="20">
        <v>-22.817799699999998</v>
      </c>
      <c r="I88" s="20">
        <v>150.83651620000001</v>
      </c>
      <c r="J88">
        <v>250</v>
      </c>
      <c r="K88" t="s">
        <v>32</v>
      </c>
      <c r="L88" t="s">
        <v>33</v>
      </c>
      <c r="M88" t="s">
        <v>33</v>
      </c>
      <c r="N88" t="s">
        <v>240</v>
      </c>
      <c r="O88" t="s">
        <v>217</v>
      </c>
      <c r="P88" t="s">
        <v>219</v>
      </c>
      <c r="Q88" s="21">
        <v>475</v>
      </c>
      <c r="R88" s="21">
        <v>458</v>
      </c>
      <c r="S88" s="21">
        <v>26</v>
      </c>
      <c r="T88" s="21">
        <v>25</v>
      </c>
      <c r="U88" s="11">
        <f>3.843*R88+98</f>
        <v>1858.0940000000001</v>
      </c>
      <c r="V88" s="54" t="s">
        <v>28</v>
      </c>
      <c r="W88" s="16">
        <f>(-LN(1-(U88/5400))-0.1344)/0.12</f>
        <v>2.3944496103371375</v>
      </c>
    </row>
    <row r="89" spans="1:24" ht="17" x14ac:dyDescent="0.2">
      <c r="A89" s="28" t="s">
        <v>124</v>
      </c>
      <c r="B89" s="9" t="b">
        <v>0</v>
      </c>
      <c r="C89" s="10" t="s">
        <v>18</v>
      </c>
      <c r="D89" s="11">
        <v>2000</v>
      </c>
      <c r="E89" s="12">
        <v>15</v>
      </c>
      <c r="F89" s="11">
        <f>D89-W89</f>
        <v>1997.0278814095341</v>
      </c>
      <c r="G89" s="19" t="s">
        <v>31</v>
      </c>
      <c r="H89" s="25">
        <v>-21.999479699999998</v>
      </c>
      <c r="I89" s="25">
        <v>149.82595480000001</v>
      </c>
      <c r="J89" s="23">
        <v>250</v>
      </c>
      <c r="K89" t="s">
        <v>32</v>
      </c>
      <c r="L89" t="s">
        <v>33</v>
      </c>
      <c r="M89" t="s">
        <v>33</v>
      </c>
      <c r="N89" t="s">
        <v>240</v>
      </c>
      <c r="O89" t="s">
        <v>217</v>
      </c>
      <c r="P89" t="s">
        <v>219</v>
      </c>
      <c r="Q89" s="21">
        <v>702</v>
      </c>
      <c r="R89" s="21">
        <v>564</v>
      </c>
      <c r="S89" s="21">
        <v>22</v>
      </c>
      <c r="T89" s="21">
        <v>23</v>
      </c>
      <c r="U89" s="11">
        <f>4.89*R89-75</f>
        <v>2682.96</v>
      </c>
      <c r="V89" s="54" t="s">
        <v>22</v>
      </c>
      <c r="W89" s="16">
        <f>(-LN(1-(U89/4090))/0.31)-0.47</f>
        <v>2.9721185904658141</v>
      </c>
      <c r="X89" s="37"/>
    </row>
    <row r="90" spans="1:24" ht="17" x14ac:dyDescent="0.2">
      <c r="A90" s="29" t="s">
        <v>125</v>
      </c>
      <c r="B90" s="9" t="b">
        <v>0</v>
      </c>
      <c r="C90" s="10" t="s">
        <v>18</v>
      </c>
      <c r="D90" s="11">
        <v>2000</v>
      </c>
      <c r="E90" s="12">
        <v>15</v>
      </c>
      <c r="F90" s="11">
        <f>D90-W90</f>
        <v>1998.381332785794</v>
      </c>
      <c r="G90" s="19" t="s">
        <v>31</v>
      </c>
      <c r="H90" s="20">
        <v>-22.638305200000001</v>
      </c>
      <c r="I90" s="20">
        <v>150.94749959999999</v>
      </c>
      <c r="J90" s="23">
        <v>250</v>
      </c>
      <c r="K90" t="s">
        <v>32</v>
      </c>
      <c r="L90" t="s">
        <v>33</v>
      </c>
      <c r="M90" t="s">
        <v>33</v>
      </c>
      <c r="N90" t="s">
        <v>240</v>
      </c>
      <c r="O90" t="s">
        <v>217</v>
      </c>
      <c r="P90" t="s">
        <v>219</v>
      </c>
      <c r="Q90" s="21">
        <v>509</v>
      </c>
      <c r="R90" s="21">
        <v>414</v>
      </c>
      <c r="S90" s="27">
        <v>21</v>
      </c>
      <c r="T90" s="27">
        <v>22</v>
      </c>
      <c r="U90" s="11">
        <f>4.89*R90-75</f>
        <v>1949.4599999999998</v>
      </c>
      <c r="V90" s="54" t="s">
        <v>28</v>
      </c>
      <c r="W90" s="16">
        <f>(-LN(1-(U90/4090))/0.31)-0.47</f>
        <v>1.6186672142059326</v>
      </c>
    </row>
    <row r="91" spans="1:24" ht="17" x14ac:dyDescent="0.2">
      <c r="A91" s="28" t="s">
        <v>126</v>
      </c>
      <c r="B91" s="9" t="b">
        <v>0</v>
      </c>
      <c r="C91" s="10" t="s">
        <v>18</v>
      </c>
      <c r="D91" s="11">
        <v>2000</v>
      </c>
      <c r="E91" s="12">
        <v>15</v>
      </c>
      <c r="F91" s="11">
        <f>D91-W91</f>
        <v>1997.0502256569375</v>
      </c>
      <c r="G91" s="19" t="s">
        <v>31</v>
      </c>
      <c r="H91" s="25">
        <v>-20.125484799999999</v>
      </c>
      <c r="I91" s="25">
        <v>148.4030941</v>
      </c>
      <c r="J91" s="23">
        <v>250</v>
      </c>
      <c r="K91" t="s">
        <v>32</v>
      </c>
      <c r="L91" t="s">
        <v>33</v>
      </c>
      <c r="M91" t="s">
        <v>33</v>
      </c>
      <c r="N91" t="s">
        <v>240</v>
      </c>
      <c r="O91" t="s">
        <v>217</v>
      </c>
      <c r="P91" t="s">
        <v>219</v>
      </c>
      <c r="Q91" s="21">
        <v>687</v>
      </c>
      <c r="R91" s="21">
        <v>562</v>
      </c>
      <c r="S91" s="21">
        <v>21</v>
      </c>
      <c r="T91" s="21">
        <v>20</v>
      </c>
      <c r="U91" s="11">
        <f>4.89*R91-75</f>
        <v>2673.18</v>
      </c>
      <c r="V91" s="54" t="s">
        <v>22</v>
      </c>
      <c r="W91" s="16">
        <f>(-LN(1-(U91/4090))/0.31)-0.47</f>
        <v>2.9497743430625603</v>
      </c>
    </row>
    <row r="92" spans="1:24" ht="17" x14ac:dyDescent="0.2">
      <c r="A92" s="8" t="s">
        <v>127</v>
      </c>
      <c r="B92" s="9" t="b">
        <v>1</v>
      </c>
      <c r="C92" s="10" t="s">
        <v>18</v>
      </c>
      <c r="D92" s="11">
        <v>2000</v>
      </c>
      <c r="E92" s="12">
        <v>15</v>
      </c>
      <c r="F92" s="11">
        <f>D92-W92</f>
        <v>1996.9599047484312</v>
      </c>
      <c r="G92" s="19" t="s">
        <v>31</v>
      </c>
      <c r="H92" s="20">
        <v>-21.900753900000002</v>
      </c>
      <c r="I92" s="20">
        <v>150.0581722</v>
      </c>
      <c r="J92">
        <v>250</v>
      </c>
      <c r="K92" t="s">
        <v>32</v>
      </c>
      <c r="L92" t="s">
        <v>33</v>
      </c>
      <c r="M92" t="s">
        <v>33</v>
      </c>
      <c r="N92" t="s">
        <v>240</v>
      </c>
      <c r="O92" t="s">
        <v>217</v>
      </c>
      <c r="P92" t="s">
        <v>219</v>
      </c>
      <c r="Q92" s="21">
        <v>652</v>
      </c>
      <c r="R92" s="21">
        <v>570</v>
      </c>
      <c r="S92" s="14">
        <v>23</v>
      </c>
      <c r="T92" s="14">
        <v>24</v>
      </c>
      <c r="U92" s="11">
        <f>4.89*R92-75</f>
        <v>2712.2999999999997</v>
      </c>
      <c r="V92" s="54" t="s">
        <v>22</v>
      </c>
      <c r="W92" s="16">
        <f>(-LN(1-(U92/4090))/0.31)-0.47</f>
        <v>3.0400952515686903</v>
      </c>
    </row>
    <row r="93" spans="1:24" ht="17" x14ac:dyDescent="0.2">
      <c r="A93" s="8" t="s">
        <v>128</v>
      </c>
      <c r="B93" s="9" t="b">
        <v>0</v>
      </c>
      <c r="C93" s="10" t="s">
        <v>18</v>
      </c>
      <c r="D93" s="11">
        <v>2000</v>
      </c>
      <c r="E93" s="12">
        <v>15</v>
      </c>
      <c r="F93" s="11">
        <f>D93-W93</f>
        <v>1996.0537243560711</v>
      </c>
      <c r="G93" s="19" t="s">
        <v>31</v>
      </c>
      <c r="H93" s="20">
        <v>-22.231415699999999</v>
      </c>
      <c r="I93" s="20">
        <v>150.56054940000001</v>
      </c>
      <c r="J93">
        <v>250</v>
      </c>
      <c r="K93" t="s">
        <v>32</v>
      </c>
      <c r="L93" t="s">
        <v>33</v>
      </c>
      <c r="M93" t="s">
        <v>33</v>
      </c>
      <c r="N93" t="s">
        <v>240</v>
      </c>
      <c r="O93" t="s">
        <v>217</v>
      </c>
      <c r="P93" t="s">
        <v>219</v>
      </c>
      <c r="Q93" s="21">
        <v>706</v>
      </c>
      <c r="R93" s="21">
        <v>639</v>
      </c>
      <c r="S93" s="21">
        <v>25</v>
      </c>
      <c r="T93" s="21">
        <v>25</v>
      </c>
      <c r="U93" s="11">
        <f>4.89*R93-75</f>
        <v>3049.7099999999996</v>
      </c>
      <c r="V93" s="54" t="s">
        <v>22</v>
      </c>
      <c r="W93" s="16">
        <f>(-LN(1-(U93/4090))/0.31)-0.47</f>
        <v>3.9462756439288578</v>
      </c>
    </row>
    <row r="94" spans="1:24" ht="17" x14ac:dyDescent="0.2">
      <c r="A94" s="8" t="s">
        <v>129</v>
      </c>
      <c r="B94" s="9" t="b">
        <v>0</v>
      </c>
      <c r="C94" s="18" t="s">
        <v>30</v>
      </c>
      <c r="D94" s="11">
        <v>2000</v>
      </c>
      <c r="E94" s="12">
        <v>15</v>
      </c>
      <c r="F94" s="11">
        <f>D94-W94</f>
        <v>1999.2643950215368</v>
      </c>
      <c r="G94" s="19" t="s">
        <v>31</v>
      </c>
      <c r="H94" s="20">
        <v>-21.0789793</v>
      </c>
      <c r="I94" s="20">
        <v>149.85550839999999</v>
      </c>
      <c r="J94">
        <v>250</v>
      </c>
      <c r="K94" t="s">
        <v>32</v>
      </c>
      <c r="L94" t="s">
        <v>33</v>
      </c>
      <c r="M94" t="s">
        <v>33</v>
      </c>
      <c r="N94" t="s">
        <v>240</v>
      </c>
      <c r="O94" t="s">
        <v>217</v>
      </c>
      <c r="P94" t="s">
        <v>219</v>
      </c>
      <c r="Q94" s="21">
        <v>268</v>
      </c>
      <c r="R94" s="21">
        <v>255</v>
      </c>
      <c r="S94" s="21">
        <v>25</v>
      </c>
      <c r="T94" s="21">
        <v>24</v>
      </c>
      <c r="U94" s="11">
        <f>3.843*R94+98</f>
        <v>1077.9650000000001</v>
      </c>
      <c r="V94" s="54" t="s">
        <v>35</v>
      </c>
      <c r="W94" s="16">
        <f>(-LN(1-(U94/5400))-0.1344)/0.12</f>
        <v>0.73560497846328132</v>
      </c>
    </row>
    <row r="95" spans="1:24" ht="17" x14ac:dyDescent="0.2">
      <c r="A95" s="8" t="s">
        <v>130</v>
      </c>
      <c r="B95" s="9" t="b">
        <v>0</v>
      </c>
      <c r="C95" s="18" t="s">
        <v>30</v>
      </c>
      <c r="D95" s="11">
        <v>1965</v>
      </c>
      <c r="E95" s="12">
        <v>5</v>
      </c>
      <c r="F95" s="11">
        <f>D95-W95</f>
        <v>1952.5469649270879</v>
      </c>
      <c r="G95" s="19" t="s">
        <v>131</v>
      </c>
      <c r="H95" s="33">
        <v>-22.539701999999998</v>
      </c>
      <c r="I95" s="33">
        <v>150.73477399999999</v>
      </c>
      <c r="J95">
        <v>2</v>
      </c>
      <c r="K95" t="s">
        <v>93</v>
      </c>
      <c r="L95" t="s">
        <v>33</v>
      </c>
      <c r="M95" t="s">
        <v>33</v>
      </c>
      <c r="N95" t="s">
        <v>238</v>
      </c>
      <c r="O95" t="s">
        <v>217</v>
      </c>
      <c r="P95" t="s">
        <v>219</v>
      </c>
      <c r="Q95" s="14"/>
      <c r="R95" s="21">
        <v>1104</v>
      </c>
      <c r="S95" s="21">
        <v>25</v>
      </c>
      <c r="T95" s="21">
        <v>26</v>
      </c>
      <c r="U95" s="11">
        <f>3.843*R95+98</f>
        <v>4340.6719999999996</v>
      </c>
      <c r="V95" s="54" t="s">
        <v>22</v>
      </c>
      <c r="W95" s="16">
        <f>(-LN(1-(U95/5400))-0.1344)/0.12</f>
        <v>12.453035072912096</v>
      </c>
    </row>
    <row r="96" spans="1:24" x14ac:dyDescent="0.2">
      <c r="A96" s="28" t="s">
        <v>132</v>
      </c>
      <c r="B96" s="9" t="b">
        <v>1</v>
      </c>
      <c r="C96" s="10" t="s">
        <v>18</v>
      </c>
      <c r="D96" s="11">
        <v>2022</v>
      </c>
      <c r="E96" s="12">
        <v>0</v>
      </c>
      <c r="F96" s="11">
        <f>D96-W96</f>
        <v>2021.6531053622257</v>
      </c>
      <c r="G96" t="s">
        <v>133</v>
      </c>
      <c r="H96" s="13">
        <v>-19.276986999999998</v>
      </c>
      <c r="I96" s="13">
        <v>147.05332899999999</v>
      </c>
      <c r="J96" s="15">
        <v>0</v>
      </c>
      <c r="K96" t="s">
        <v>134</v>
      </c>
      <c r="L96" t="s">
        <v>21</v>
      </c>
      <c r="M96" s="17" t="s">
        <v>21</v>
      </c>
      <c r="N96" t="s">
        <v>242</v>
      </c>
      <c r="O96" t="s">
        <v>217</v>
      </c>
      <c r="P96" t="s">
        <v>224</v>
      </c>
      <c r="Q96" s="14">
        <v>220</v>
      </c>
      <c r="R96" s="14">
        <v>183</v>
      </c>
      <c r="S96" s="21">
        <v>22</v>
      </c>
      <c r="T96" s="21">
        <v>22</v>
      </c>
      <c r="U96" s="11">
        <f>R96/0.2</f>
        <v>915</v>
      </c>
      <c r="V96" s="54" t="s">
        <v>35</v>
      </c>
      <c r="W96" s="16">
        <f>(-LN(1-(U96/4090))/0.31)-0.47</f>
        <v>0.34689463777437235</v>
      </c>
      <c r="X96" s="37"/>
    </row>
    <row r="97" spans="1:23" x14ac:dyDescent="0.2">
      <c r="A97" s="28" t="s">
        <v>135</v>
      </c>
      <c r="B97" s="9" t="b">
        <v>1</v>
      </c>
      <c r="C97" s="10" t="s">
        <v>18</v>
      </c>
      <c r="D97" s="11">
        <v>2022</v>
      </c>
      <c r="E97" s="12">
        <v>0</v>
      </c>
      <c r="F97" s="11">
        <f>D97-W97</f>
        <v>2021.4863060004013</v>
      </c>
      <c r="G97" t="s">
        <v>133</v>
      </c>
      <c r="H97" s="13">
        <v>-19.276986999999998</v>
      </c>
      <c r="I97" s="13">
        <v>147.05332899999999</v>
      </c>
      <c r="J97" s="15">
        <v>0</v>
      </c>
      <c r="K97" t="s">
        <v>134</v>
      </c>
      <c r="L97" t="s">
        <v>21</v>
      </c>
      <c r="M97" s="17" t="s">
        <v>21</v>
      </c>
      <c r="N97" t="s">
        <v>242</v>
      </c>
      <c r="O97" t="s">
        <v>217</v>
      </c>
      <c r="P97" t="s">
        <v>224</v>
      </c>
      <c r="Q97" s="14">
        <v>255</v>
      </c>
      <c r="R97" s="14">
        <v>215</v>
      </c>
      <c r="S97" s="14">
        <v>23</v>
      </c>
      <c r="T97" s="14">
        <v>24</v>
      </c>
      <c r="U97" s="11">
        <f>R97/0.2</f>
        <v>1075</v>
      </c>
      <c r="V97" s="54" t="s">
        <v>35</v>
      </c>
      <c r="W97" s="16">
        <f>(-LN(1-(U97/4090))/0.31)-0.47</f>
        <v>0.51369399959858564</v>
      </c>
    </row>
    <row r="98" spans="1:23" x14ac:dyDescent="0.2">
      <c r="A98" s="28" t="s">
        <v>136</v>
      </c>
      <c r="B98" s="9" t="b">
        <v>1</v>
      </c>
      <c r="C98" s="10" t="s">
        <v>18</v>
      </c>
      <c r="D98" s="11">
        <v>2022</v>
      </c>
      <c r="E98" s="12">
        <v>0</v>
      </c>
      <c r="F98" s="11">
        <f>D98-W98</f>
        <v>2021.5707836647803</v>
      </c>
      <c r="G98" t="s">
        <v>133</v>
      </c>
      <c r="H98" s="13">
        <v>-19.276986999999998</v>
      </c>
      <c r="I98" s="13">
        <v>147.05332899999999</v>
      </c>
      <c r="J98" s="15">
        <v>0</v>
      </c>
      <c r="K98" t="s">
        <v>134</v>
      </c>
      <c r="L98" t="s">
        <v>21</v>
      </c>
      <c r="M98" s="17" t="s">
        <v>21</v>
      </c>
      <c r="N98" t="s">
        <v>242</v>
      </c>
      <c r="O98" t="s">
        <v>217</v>
      </c>
      <c r="P98" t="s">
        <v>224</v>
      </c>
      <c r="Q98" s="14">
        <v>232</v>
      </c>
      <c r="R98" s="14">
        <v>199</v>
      </c>
      <c r="S98" s="14">
        <v>21</v>
      </c>
      <c r="T98" s="14">
        <v>21</v>
      </c>
      <c r="U98" s="11">
        <f>R98/0.2</f>
        <v>995</v>
      </c>
      <c r="V98" s="54" t="s">
        <v>35</v>
      </c>
      <c r="W98" s="16">
        <f>(-LN(1-(U98/4090))/0.31)-0.47</f>
        <v>0.4292163352198417</v>
      </c>
    </row>
    <row r="99" spans="1:23" x14ac:dyDescent="0.2">
      <c r="A99" s="28" t="s">
        <v>137</v>
      </c>
      <c r="B99" s="9" t="b">
        <v>1</v>
      </c>
      <c r="C99" s="10" t="s">
        <v>18</v>
      </c>
      <c r="D99" s="11">
        <v>2022</v>
      </c>
      <c r="E99" s="12">
        <v>0</v>
      </c>
      <c r="F99" s="11">
        <f>D99-W99</f>
        <v>2021.4050471332125</v>
      </c>
      <c r="G99" t="s">
        <v>133</v>
      </c>
      <c r="H99" s="13">
        <v>-19.276986999999998</v>
      </c>
      <c r="I99" s="13">
        <v>147.05332899999999</v>
      </c>
      <c r="J99" s="15">
        <v>0</v>
      </c>
      <c r="K99" t="s">
        <v>134</v>
      </c>
      <c r="L99" t="s">
        <v>21</v>
      </c>
      <c r="M99" s="17" t="s">
        <v>21</v>
      </c>
      <c r="N99" t="s">
        <v>242</v>
      </c>
      <c r="O99" t="s">
        <v>217</v>
      </c>
      <c r="P99" t="s">
        <v>224</v>
      </c>
      <c r="Q99" s="14">
        <v>267</v>
      </c>
      <c r="R99" s="14">
        <v>230</v>
      </c>
      <c r="S99" s="14">
        <v>23</v>
      </c>
      <c r="T99" s="14">
        <v>23</v>
      </c>
      <c r="U99" s="11">
        <f>R99/0.2</f>
        <v>1150</v>
      </c>
      <c r="V99" s="54" t="s">
        <v>35</v>
      </c>
      <c r="W99" s="16">
        <f>(-LN(1-(U99/4090))/0.31)-0.47</f>
        <v>0.59495286678748438</v>
      </c>
    </row>
    <row r="100" spans="1:23" x14ac:dyDescent="0.2">
      <c r="A100" s="28" t="s">
        <v>138</v>
      </c>
      <c r="B100" s="9" t="b">
        <v>1</v>
      </c>
      <c r="C100" s="10" t="s">
        <v>18</v>
      </c>
      <c r="D100" s="11">
        <v>2022</v>
      </c>
      <c r="E100" s="12">
        <v>0</v>
      </c>
      <c r="F100" s="11">
        <f>D100-W100</f>
        <v>2021.5498707458187</v>
      </c>
      <c r="G100" t="s">
        <v>133</v>
      </c>
      <c r="H100" s="13">
        <v>-19.276986999999998</v>
      </c>
      <c r="I100" s="13">
        <v>147.05332899999999</v>
      </c>
      <c r="J100" s="15">
        <v>0</v>
      </c>
      <c r="K100" t="s">
        <v>134</v>
      </c>
      <c r="L100" t="s">
        <v>21</v>
      </c>
      <c r="M100" s="17" t="s">
        <v>21</v>
      </c>
      <c r="N100" t="s">
        <v>242</v>
      </c>
      <c r="O100" t="s">
        <v>217</v>
      </c>
      <c r="P100" t="s">
        <v>224</v>
      </c>
      <c r="Q100" s="14">
        <v>241</v>
      </c>
      <c r="R100" s="14">
        <v>203</v>
      </c>
      <c r="S100" s="14">
        <v>22</v>
      </c>
      <c r="T100" s="14">
        <v>20</v>
      </c>
      <c r="U100" s="11">
        <f>R100/0.2</f>
        <v>1015</v>
      </c>
      <c r="V100" s="54" t="s">
        <v>35</v>
      </c>
      <c r="W100" s="16">
        <f>(-LN(1-(U100/4090))/0.31)-0.47</f>
        <v>0.45012925418138461</v>
      </c>
    </row>
    <row r="101" spans="1:23" x14ac:dyDescent="0.2">
      <c r="A101" s="28" t="s">
        <v>139</v>
      </c>
      <c r="B101" s="9" t="b">
        <v>1</v>
      </c>
      <c r="C101" s="10" t="s">
        <v>18</v>
      </c>
      <c r="D101" s="11">
        <v>2022</v>
      </c>
      <c r="E101" s="12">
        <v>0</v>
      </c>
      <c r="F101" s="11">
        <f>D101-W101</f>
        <v>2021.5915618780152</v>
      </c>
      <c r="G101" t="s">
        <v>133</v>
      </c>
      <c r="H101" s="13">
        <v>-19.276986999999998</v>
      </c>
      <c r="I101" s="13">
        <v>147.05332899999999</v>
      </c>
      <c r="J101" s="15">
        <v>0</v>
      </c>
      <c r="K101" t="s">
        <v>134</v>
      </c>
      <c r="L101" t="s">
        <v>21</v>
      </c>
      <c r="M101" s="17" t="s">
        <v>21</v>
      </c>
      <c r="N101" t="s">
        <v>242</v>
      </c>
      <c r="O101" t="s">
        <v>217</v>
      </c>
      <c r="P101" t="s">
        <v>224</v>
      </c>
      <c r="Q101" s="14">
        <v>229</v>
      </c>
      <c r="R101" s="14">
        <v>195</v>
      </c>
      <c r="S101" s="14">
        <v>24</v>
      </c>
      <c r="T101" s="14">
        <v>23</v>
      </c>
      <c r="U101" s="11">
        <f>R101/0.2</f>
        <v>975</v>
      </c>
      <c r="V101" s="54" t="s">
        <v>35</v>
      </c>
      <c r="W101" s="16">
        <f>(-LN(1-(U101/4090))/0.31)-0.47</f>
        <v>0.40843812198481888</v>
      </c>
    </row>
    <row r="102" spans="1:23" x14ac:dyDescent="0.2">
      <c r="A102" s="8" t="s">
        <v>140</v>
      </c>
      <c r="B102" s="9" t="b">
        <v>0</v>
      </c>
      <c r="C102" s="10" t="s">
        <v>18</v>
      </c>
      <c r="D102" s="11">
        <v>2020</v>
      </c>
      <c r="E102" s="12">
        <v>0.5</v>
      </c>
      <c r="F102" s="11">
        <f>D102-W102</f>
        <v>2017.8886606086171</v>
      </c>
      <c r="G102" t="s">
        <v>141</v>
      </c>
      <c r="H102" s="33">
        <v>-12.233628</v>
      </c>
      <c r="I102" s="33">
        <v>141.767222</v>
      </c>
      <c r="J102">
        <v>5</v>
      </c>
      <c r="K102" t="s">
        <v>142</v>
      </c>
      <c r="L102" t="s">
        <v>143</v>
      </c>
      <c r="M102" t="s">
        <v>143</v>
      </c>
      <c r="N102" t="s">
        <v>235</v>
      </c>
      <c r="O102" t="s">
        <v>218</v>
      </c>
      <c r="P102" t="s">
        <v>220</v>
      </c>
      <c r="Q102" s="14"/>
      <c r="R102" s="21">
        <v>476</v>
      </c>
      <c r="S102" s="21">
        <v>22</v>
      </c>
      <c r="T102" s="21">
        <v>25</v>
      </c>
      <c r="U102" s="11">
        <f>4.89*R102-75</f>
        <v>2252.64</v>
      </c>
      <c r="V102" s="54" t="s">
        <v>22</v>
      </c>
      <c r="W102" s="16">
        <f>(-LN(1-(U102/4090))/0.31)-0.47</f>
        <v>2.111339391382864</v>
      </c>
    </row>
    <row r="103" spans="1:23" x14ac:dyDescent="0.2">
      <c r="A103" s="8" t="s">
        <v>144</v>
      </c>
      <c r="B103" s="9" t="b">
        <v>0</v>
      </c>
      <c r="C103" s="18" t="s">
        <v>30</v>
      </c>
      <c r="D103" s="11">
        <v>1980</v>
      </c>
      <c r="E103" s="12">
        <v>5</v>
      </c>
      <c r="F103" s="11">
        <f>D103-W103</f>
        <v>1970.05951872214</v>
      </c>
      <c r="G103" t="s">
        <v>145</v>
      </c>
      <c r="H103" s="38">
        <v>-17.413024100000001</v>
      </c>
      <c r="I103" s="38">
        <v>140.76465150000001</v>
      </c>
      <c r="J103">
        <v>20</v>
      </c>
      <c r="K103" t="s">
        <v>26</v>
      </c>
      <c r="L103" s="17" t="s">
        <v>27</v>
      </c>
      <c r="M103" t="s">
        <v>228</v>
      </c>
      <c r="N103" t="s">
        <v>244</v>
      </c>
      <c r="O103" t="s">
        <v>218</v>
      </c>
      <c r="P103" t="s">
        <v>220</v>
      </c>
      <c r="Q103" s="21">
        <v>1092</v>
      </c>
      <c r="R103" s="21">
        <v>1007</v>
      </c>
      <c r="S103" s="21">
        <v>24</v>
      </c>
      <c r="T103" s="21">
        <v>26</v>
      </c>
      <c r="U103" s="11">
        <f>3.843*R103+98</f>
        <v>3967.9009999999998</v>
      </c>
      <c r="V103" s="54" t="s">
        <v>22</v>
      </c>
      <c r="W103" s="16">
        <f>(-LN(1-(U103/5400))-0.1344)/0.12</f>
        <v>9.9404812778601066</v>
      </c>
    </row>
    <row r="104" spans="1:23" ht="17" x14ac:dyDescent="0.2">
      <c r="A104" s="8" t="s">
        <v>146</v>
      </c>
      <c r="B104" s="9" t="b">
        <v>0</v>
      </c>
      <c r="C104" s="10" t="s">
        <v>18</v>
      </c>
      <c r="D104" s="11">
        <v>1990</v>
      </c>
      <c r="E104" s="12">
        <v>15</v>
      </c>
      <c r="F104" s="11">
        <f>D104-W104</f>
        <v>1988.888528272523</v>
      </c>
      <c r="G104" s="32" t="s">
        <v>147</v>
      </c>
      <c r="H104" s="20">
        <v>-20.8558868</v>
      </c>
      <c r="I104" s="20">
        <v>148.84810519999999</v>
      </c>
      <c r="J104">
        <v>100</v>
      </c>
      <c r="K104" t="s">
        <v>148</v>
      </c>
      <c r="L104" t="s">
        <v>33</v>
      </c>
      <c r="M104" t="s">
        <v>33</v>
      </c>
      <c r="N104" t="s">
        <v>239</v>
      </c>
      <c r="O104" t="s">
        <v>217</v>
      </c>
      <c r="P104" t="s">
        <v>219</v>
      </c>
      <c r="Q104" s="21">
        <v>426</v>
      </c>
      <c r="R104" s="21">
        <v>317</v>
      </c>
      <c r="S104" s="21">
        <v>20</v>
      </c>
      <c r="T104" s="21">
        <v>20</v>
      </c>
      <c r="U104" s="11">
        <f>R104/0.2</f>
        <v>1585</v>
      </c>
      <c r="V104" s="54" t="s">
        <v>28</v>
      </c>
      <c r="W104" s="16">
        <f>(-LN(1-(U104/4090))/0.31)-0.47</f>
        <v>1.1114717274770398</v>
      </c>
    </row>
    <row r="105" spans="1:23" ht="17" x14ac:dyDescent="0.2">
      <c r="A105" s="8" t="s">
        <v>149</v>
      </c>
      <c r="B105" s="9" t="b">
        <v>0</v>
      </c>
      <c r="C105" s="10" t="s">
        <v>18</v>
      </c>
      <c r="D105" s="11">
        <v>1990</v>
      </c>
      <c r="E105" s="12">
        <v>15</v>
      </c>
      <c r="F105" s="11">
        <f>D105-W105</f>
        <v>1989.5129436947207</v>
      </c>
      <c r="G105" s="32" t="s">
        <v>147</v>
      </c>
      <c r="H105" s="20">
        <v>-21.5115816</v>
      </c>
      <c r="I105" s="20">
        <v>149.71945840000001</v>
      </c>
      <c r="J105">
        <v>100</v>
      </c>
      <c r="K105" t="s">
        <v>148</v>
      </c>
      <c r="L105" t="s">
        <v>33</v>
      </c>
      <c r="M105" t="s">
        <v>33</v>
      </c>
      <c r="N105" t="s">
        <v>239</v>
      </c>
      <c r="O105" t="s">
        <v>217</v>
      </c>
      <c r="P105" t="s">
        <v>219</v>
      </c>
      <c r="Q105" s="14"/>
      <c r="R105" s="21">
        <v>210</v>
      </c>
      <c r="S105" s="21">
        <v>21</v>
      </c>
      <c r="T105" s="21">
        <v>20</v>
      </c>
      <c r="U105" s="11">
        <f>R105/0.2</f>
        <v>1050</v>
      </c>
      <c r="V105" s="54" t="s">
        <v>35</v>
      </c>
      <c r="W105" s="16">
        <f>(-LN(1-(U105/4090))/0.31)-0.47</f>
        <v>0.48705630527929067</v>
      </c>
    </row>
    <row r="106" spans="1:23" ht="17" x14ac:dyDescent="0.2">
      <c r="A106" s="8" t="s">
        <v>150</v>
      </c>
      <c r="B106" s="9" t="b">
        <v>0</v>
      </c>
      <c r="C106" s="10" t="s">
        <v>18</v>
      </c>
      <c r="D106" s="11">
        <v>1990</v>
      </c>
      <c r="E106" s="12">
        <v>15</v>
      </c>
      <c r="F106" s="11">
        <f>D106-W106</f>
        <v>1988.5278415993944</v>
      </c>
      <c r="G106" s="32" t="s">
        <v>147</v>
      </c>
      <c r="H106" s="20">
        <v>-20.972515900000001</v>
      </c>
      <c r="I106" s="20">
        <v>149.35724830000001</v>
      </c>
      <c r="J106">
        <v>100</v>
      </c>
      <c r="K106" t="s">
        <v>148</v>
      </c>
      <c r="L106" t="s">
        <v>33</v>
      </c>
      <c r="M106" t="s">
        <v>33</v>
      </c>
      <c r="N106" t="s">
        <v>239</v>
      </c>
      <c r="O106" t="s">
        <v>217</v>
      </c>
      <c r="P106" t="s">
        <v>219</v>
      </c>
      <c r="Q106" s="21">
        <v>470</v>
      </c>
      <c r="R106" s="21">
        <v>370</v>
      </c>
      <c r="S106" s="21">
        <v>20</v>
      </c>
      <c r="T106" s="21">
        <v>19</v>
      </c>
      <c r="U106" s="11">
        <f>R106/0.2</f>
        <v>1850</v>
      </c>
      <c r="V106" s="54" t="s">
        <v>28</v>
      </c>
      <c r="W106" s="16">
        <f>(-LN(1-(U106/4090))/0.31)-0.47</f>
        <v>1.4721584006056829</v>
      </c>
    </row>
    <row r="107" spans="1:23" ht="17" x14ac:dyDescent="0.2">
      <c r="A107" s="8" t="s">
        <v>151</v>
      </c>
      <c r="B107" s="9" t="b">
        <v>1</v>
      </c>
      <c r="C107" s="31" t="s">
        <v>18</v>
      </c>
      <c r="D107" s="11">
        <v>1990</v>
      </c>
      <c r="E107" s="12">
        <v>15</v>
      </c>
      <c r="F107" s="11">
        <f>D107-W107</f>
        <v>1989.3719616488022</v>
      </c>
      <c r="G107" s="32" t="s">
        <v>147</v>
      </c>
      <c r="H107" s="20">
        <v>-21.780712399999999</v>
      </c>
      <c r="I107" s="20">
        <v>150.4963242</v>
      </c>
      <c r="J107">
        <v>100</v>
      </c>
      <c r="K107" t="s">
        <v>148</v>
      </c>
      <c r="L107" t="s">
        <v>33</v>
      </c>
      <c r="M107" t="s">
        <v>33</v>
      </c>
      <c r="N107" t="s">
        <v>239</v>
      </c>
      <c r="O107" t="s">
        <v>217</v>
      </c>
      <c r="P107" t="s">
        <v>219</v>
      </c>
      <c r="Q107" s="21"/>
      <c r="R107" s="21">
        <v>236</v>
      </c>
      <c r="S107" s="21">
        <v>21</v>
      </c>
      <c r="T107" s="21">
        <v>21</v>
      </c>
      <c r="U107" s="11">
        <f>R107/0.2</f>
        <v>1180</v>
      </c>
      <c r="V107" s="54" t="s">
        <v>35</v>
      </c>
      <c r="W107" s="16">
        <f>(-LN(1-(U107/4090))/0.31)-0.47</f>
        <v>0.62803835119777163</v>
      </c>
    </row>
    <row r="108" spans="1:23" ht="17" x14ac:dyDescent="0.2">
      <c r="A108" s="8" t="s">
        <v>152</v>
      </c>
      <c r="B108" s="9" t="b">
        <v>0</v>
      </c>
      <c r="C108" s="10" t="s">
        <v>18</v>
      </c>
      <c r="D108" s="11">
        <v>1990</v>
      </c>
      <c r="E108" s="12">
        <v>15</v>
      </c>
      <c r="F108" s="11">
        <f>D108-W108</f>
        <v>1989.2648944888288</v>
      </c>
      <c r="G108" s="32" t="s">
        <v>147</v>
      </c>
      <c r="H108" s="20">
        <v>-21.142459500000001</v>
      </c>
      <c r="I108" s="20">
        <v>149.4639348</v>
      </c>
      <c r="J108">
        <v>100</v>
      </c>
      <c r="K108" t="s">
        <v>148</v>
      </c>
      <c r="L108" t="s">
        <v>33</v>
      </c>
      <c r="M108" t="s">
        <v>33</v>
      </c>
      <c r="N108" t="s">
        <v>239</v>
      </c>
      <c r="O108" t="s">
        <v>217</v>
      </c>
      <c r="P108" t="s">
        <v>219</v>
      </c>
      <c r="Q108" s="21">
        <v>329</v>
      </c>
      <c r="R108" s="21">
        <v>255</v>
      </c>
      <c r="S108" s="21">
        <v>20</v>
      </c>
      <c r="T108" s="21">
        <v>19</v>
      </c>
      <c r="U108" s="11">
        <f>R108/0.2</f>
        <v>1275</v>
      </c>
      <c r="V108" s="54" t="s">
        <v>35</v>
      </c>
      <c r="W108" s="16">
        <f>(-LN(1-(U108/4090))/0.31)-0.47</f>
        <v>0.73510551117115042</v>
      </c>
    </row>
    <row r="109" spans="1:23" ht="17" x14ac:dyDescent="0.2">
      <c r="A109" s="8" t="s">
        <v>153</v>
      </c>
      <c r="B109" s="9" t="b">
        <v>0</v>
      </c>
      <c r="C109" s="10" t="s">
        <v>18</v>
      </c>
      <c r="D109" s="11">
        <v>1990</v>
      </c>
      <c r="E109" s="12">
        <v>15</v>
      </c>
      <c r="F109" s="11">
        <f>D109-W109</f>
        <v>1989.0271584756845</v>
      </c>
      <c r="G109" s="32" t="s">
        <v>147</v>
      </c>
      <c r="H109" s="20">
        <v>-20.860560499999998</v>
      </c>
      <c r="I109" s="20">
        <v>149.7370999</v>
      </c>
      <c r="J109">
        <v>100</v>
      </c>
      <c r="K109" t="s">
        <v>148</v>
      </c>
      <c r="L109" t="s">
        <v>33</v>
      </c>
      <c r="M109" t="s">
        <v>33</v>
      </c>
      <c r="N109" t="s">
        <v>239</v>
      </c>
      <c r="O109" t="s">
        <v>217</v>
      </c>
      <c r="P109" t="s">
        <v>219</v>
      </c>
      <c r="Q109" s="21">
        <v>394</v>
      </c>
      <c r="R109" s="21">
        <v>295</v>
      </c>
      <c r="S109" s="21">
        <v>19</v>
      </c>
      <c r="T109" s="21">
        <v>19</v>
      </c>
      <c r="U109" s="11">
        <f>R109/0.2</f>
        <v>1475</v>
      </c>
      <c r="V109" s="54" t="s">
        <v>35</v>
      </c>
      <c r="W109" s="16">
        <f>(-LN(1-(U109/4090))/0.31)-0.47</f>
        <v>0.9728415243155617</v>
      </c>
    </row>
    <row r="110" spans="1:23" ht="17" x14ac:dyDescent="0.2">
      <c r="A110" s="34" t="s">
        <v>154</v>
      </c>
      <c r="B110" s="9" t="b">
        <v>0</v>
      </c>
      <c r="C110" s="31" t="s">
        <v>18</v>
      </c>
      <c r="D110" s="11">
        <v>1990</v>
      </c>
      <c r="E110" s="12">
        <v>15</v>
      </c>
      <c r="F110" s="11">
        <f>D110-W110</f>
        <v>1989.2070827900632</v>
      </c>
      <c r="G110" s="32" t="s">
        <v>147</v>
      </c>
      <c r="H110" s="20">
        <v>-20.999461400000001</v>
      </c>
      <c r="I110" s="20">
        <v>149.42838510000001</v>
      </c>
      <c r="J110">
        <v>100</v>
      </c>
      <c r="K110" t="s">
        <v>148</v>
      </c>
      <c r="L110" t="s">
        <v>33</v>
      </c>
      <c r="M110" t="s">
        <v>33</v>
      </c>
      <c r="N110" t="s">
        <v>239</v>
      </c>
      <c r="O110" t="s">
        <v>217</v>
      </c>
      <c r="P110" t="s">
        <v>219</v>
      </c>
      <c r="Q110" s="14"/>
      <c r="R110" s="21">
        <v>265</v>
      </c>
      <c r="S110" s="21">
        <v>25</v>
      </c>
      <c r="T110" s="21">
        <v>25</v>
      </c>
      <c r="U110" s="11">
        <f>R110/0.2</f>
        <v>1325</v>
      </c>
      <c r="V110" s="54" t="s">
        <v>35</v>
      </c>
      <c r="W110" s="16">
        <f>(-LN(1-(U110/4090))/0.31)-0.47</f>
        <v>0.79291720993681425</v>
      </c>
    </row>
    <row r="111" spans="1:23" ht="17" x14ac:dyDescent="0.2">
      <c r="A111" s="8" t="s">
        <v>155</v>
      </c>
      <c r="B111" s="9" t="b">
        <v>0</v>
      </c>
      <c r="C111" s="31" t="s">
        <v>18</v>
      </c>
      <c r="D111" s="11">
        <v>1990</v>
      </c>
      <c r="E111" s="12">
        <v>15</v>
      </c>
      <c r="F111" s="11">
        <f>D111-W111</f>
        <v>1988.6201151819157</v>
      </c>
      <c r="G111" s="32" t="s">
        <v>147</v>
      </c>
      <c r="H111" s="20">
        <v>-21.859849100000002</v>
      </c>
      <c r="I111" s="20">
        <v>149.87469469999999</v>
      </c>
      <c r="J111">
        <v>100</v>
      </c>
      <c r="K111" t="s">
        <v>148</v>
      </c>
      <c r="L111" t="s">
        <v>33</v>
      </c>
      <c r="M111" t="s">
        <v>33</v>
      </c>
      <c r="N111" t="s">
        <v>239</v>
      </c>
      <c r="O111" t="s">
        <v>217</v>
      </c>
      <c r="P111" t="s">
        <v>219</v>
      </c>
      <c r="Q111" s="21">
        <v>438</v>
      </c>
      <c r="R111" s="21">
        <v>357</v>
      </c>
      <c r="S111" s="21">
        <v>24</v>
      </c>
      <c r="T111" s="21">
        <v>22</v>
      </c>
      <c r="U111" s="11">
        <f>R111/0.2</f>
        <v>1785</v>
      </c>
      <c r="V111" s="54" t="s">
        <v>28</v>
      </c>
      <c r="W111" s="16">
        <f>(-LN(1-(U111/4090))/0.31)-0.47</f>
        <v>1.3798848180841892</v>
      </c>
    </row>
    <row r="112" spans="1:23" ht="17" x14ac:dyDescent="0.2">
      <c r="A112" s="8" t="s">
        <v>156</v>
      </c>
      <c r="B112" s="9" t="b">
        <v>0</v>
      </c>
      <c r="C112" s="31" t="s">
        <v>30</v>
      </c>
      <c r="D112" s="11">
        <v>1990</v>
      </c>
      <c r="E112" s="12">
        <v>15</v>
      </c>
      <c r="F112" s="11">
        <f>D112-W112</f>
        <v>1988.6014784682386</v>
      </c>
      <c r="G112" s="32" t="s">
        <v>147</v>
      </c>
      <c r="H112" s="20">
        <v>-22.2061779</v>
      </c>
      <c r="I112" s="20">
        <v>149.82910440000001</v>
      </c>
      <c r="J112">
        <v>100</v>
      </c>
      <c r="K112" t="s">
        <v>148</v>
      </c>
      <c r="L112" t="s">
        <v>33</v>
      </c>
      <c r="M112" t="s">
        <v>33</v>
      </c>
      <c r="N112" t="s">
        <v>239</v>
      </c>
      <c r="O112" t="s">
        <v>217</v>
      </c>
      <c r="P112" t="s">
        <v>219</v>
      </c>
      <c r="Q112" s="21"/>
      <c r="R112" s="21">
        <v>341</v>
      </c>
      <c r="S112" s="21">
        <v>26</v>
      </c>
      <c r="T112" s="21">
        <v>23</v>
      </c>
      <c r="U112" s="11">
        <f>3.843*R112+98</f>
        <v>1408.463</v>
      </c>
      <c r="V112" s="54" t="s">
        <v>28</v>
      </c>
      <c r="W112" s="16">
        <f>(-LN(1-(U112/5400))-0.1344)/0.12</f>
        <v>1.3985215317613924</v>
      </c>
    </row>
    <row r="113" spans="1:23" ht="17" x14ac:dyDescent="0.2">
      <c r="A113" s="8" t="s">
        <v>157</v>
      </c>
      <c r="B113" s="9" t="b">
        <v>1</v>
      </c>
      <c r="C113" s="31" t="s">
        <v>30</v>
      </c>
      <c r="D113" s="11">
        <v>1990</v>
      </c>
      <c r="E113" s="12">
        <v>15</v>
      </c>
      <c r="F113" s="11">
        <f>D113-W113</f>
        <v>1988.5773739647861</v>
      </c>
      <c r="G113" s="32" t="s">
        <v>147</v>
      </c>
      <c r="H113" s="20">
        <v>-20.9415899</v>
      </c>
      <c r="I113" s="20">
        <v>149.18622070000001</v>
      </c>
      <c r="J113">
        <v>100</v>
      </c>
      <c r="K113" t="s">
        <v>148</v>
      </c>
      <c r="L113" t="s">
        <v>33</v>
      </c>
      <c r="M113" t="s">
        <v>33</v>
      </c>
      <c r="N113" t="s">
        <v>239</v>
      </c>
      <c r="O113" t="s">
        <v>217</v>
      </c>
      <c r="P113" t="s">
        <v>219</v>
      </c>
      <c r="Q113" s="14">
        <v>361.2</v>
      </c>
      <c r="R113" s="21">
        <v>344</v>
      </c>
      <c r="S113" s="21">
        <v>26</v>
      </c>
      <c r="T113" s="21">
        <v>24</v>
      </c>
      <c r="U113" s="11">
        <f>3.843*R113+98</f>
        <v>1419.992</v>
      </c>
      <c r="V113" s="54" t="s">
        <v>28</v>
      </c>
      <c r="W113" s="16">
        <f>(-LN(1-(U113/5400))-0.1344)/0.12</f>
        <v>1.4226260352137605</v>
      </c>
    </row>
    <row r="114" spans="1:23" ht="17" x14ac:dyDescent="0.2">
      <c r="A114" s="8" t="s">
        <v>158</v>
      </c>
      <c r="B114" s="9" t="b">
        <v>0</v>
      </c>
      <c r="C114" s="31" t="s">
        <v>30</v>
      </c>
      <c r="D114" s="11">
        <v>1990</v>
      </c>
      <c r="E114" s="12">
        <v>15</v>
      </c>
      <c r="F114" s="11">
        <f>D114-W114</f>
        <v>1988.697205241645</v>
      </c>
      <c r="G114" s="32" t="s">
        <v>147</v>
      </c>
      <c r="H114" s="20">
        <v>-21.744674</v>
      </c>
      <c r="I114" s="20">
        <v>149.72616880000001</v>
      </c>
      <c r="J114">
        <v>100</v>
      </c>
      <c r="K114" t="s">
        <v>148</v>
      </c>
      <c r="L114" t="s">
        <v>33</v>
      </c>
      <c r="M114" t="s">
        <v>33</v>
      </c>
      <c r="N114" t="s">
        <v>239</v>
      </c>
      <c r="O114" t="s">
        <v>217</v>
      </c>
      <c r="P114" t="s">
        <v>219</v>
      </c>
      <c r="Q114" s="21"/>
      <c r="R114" s="21">
        <v>329</v>
      </c>
      <c r="S114" s="21">
        <v>26</v>
      </c>
      <c r="T114" s="21">
        <v>25</v>
      </c>
      <c r="U114" s="11">
        <f>3.843*R114+98</f>
        <v>1362.347</v>
      </c>
      <c r="V114" s="54" t="s">
        <v>28</v>
      </c>
      <c r="W114" s="16">
        <f>(-LN(1-(U114/5400))-0.1344)/0.12</f>
        <v>1.3027947583549921</v>
      </c>
    </row>
    <row r="115" spans="1:23" ht="17" x14ac:dyDescent="0.2">
      <c r="A115" s="8" t="s">
        <v>159</v>
      </c>
      <c r="B115" s="9" t="b">
        <v>0</v>
      </c>
      <c r="C115" s="10" t="s">
        <v>18</v>
      </c>
      <c r="D115" s="11">
        <v>1990</v>
      </c>
      <c r="E115" s="12">
        <v>15</v>
      </c>
      <c r="F115" s="11">
        <f>D115-W115</f>
        <v>1987.0390728797311</v>
      </c>
      <c r="G115" s="32" t="s">
        <v>147</v>
      </c>
      <c r="H115" s="20">
        <v>-21.6122905</v>
      </c>
      <c r="I115" s="20">
        <v>150.0920423</v>
      </c>
      <c r="J115">
        <v>100</v>
      </c>
      <c r="K115" t="s">
        <v>148</v>
      </c>
      <c r="L115" t="s">
        <v>33</v>
      </c>
      <c r="M115" t="s">
        <v>33</v>
      </c>
      <c r="N115" t="s">
        <v>239</v>
      </c>
      <c r="O115" t="s">
        <v>217</v>
      </c>
      <c r="P115" t="s">
        <v>219</v>
      </c>
      <c r="Q115" s="21">
        <v>704</v>
      </c>
      <c r="R115" s="21">
        <v>563</v>
      </c>
      <c r="S115" s="21">
        <v>25</v>
      </c>
      <c r="T115" s="21">
        <v>24</v>
      </c>
      <c r="U115" s="11">
        <f>4.89*R115-75</f>
        <v>2678.0699999999997</v>
      </c>
      <c r="V115" s="54" t="s">
        <v>22</v>
      </c>
      <c r="W115" s="16">
        <f>(-LN(1-(U115/4090))/0.31)-0.47</f>
        <v>2.9609271202689227</v>
      </c>
    </row>
    <row r="116" spans="1:23" ht="17" x14ac:dyDescent="0.2">
      <c r="A116" s="8" t="s">
        <v>160</v>
      </c>
      <c r="B116" s="9" t="b">
        <v>0</v>
      </c>
      <c r="C116" s="31" t="s">
        <v>18</v>
      </c>
      <c r="D116" s="11">
        <v>1990</v>
      </c>
      <c r="E116" s="12">
        <v>15</v>
      </c>
      <c r="F116" s="11">
        <f>D116-W116</f>
        <v>1987.2341509811761</v>
      </c>
      <c r="G116" s="32" t="s">
        <v>147</v>
      </c>
      <c r="H116" s="20">
        <v>-21.618811900000001</v>
      </c>
      <c r="I116" s="20">
        <v>149.5693574</v>
      </c>
      <c r="J116">
        <v>100</v>
      </c>
      <c r="K116" t="s">
        <v>148</v>
      </c>
      <c r="L116" t="s">
        <v>33</v>
      </c>
      <c r="M116" t="s">
        <v>33</v>
      </c>
      <c r="N116" t="s">
        <v>239</v>
      </c>
      <c r="O116" t="s">
        <v>217</v>
      </c>
      <c r="P116" t="s">
        <v>219</v>
      </c>
      <c r="Q116" s="21">
        <v>695</v>
      </c>
      <c r="R116" s="21">
        <v>545</v>
      </c>
      <c r="S116" s="21">
        <v>20</v>
      </c>
      <c r="T116" s="21">
        <v>22</v>
      </c>
      <c r="U116" s="11">
        <f>4.89*R116-75</f>
        <v>2590.0499999999997</v>
      </c>
      <c r="V116" s="54" t="s">
        <v>22</v>
      </c>
      <c r="W116" s="16">
        <f>(-LN(1-(U116/4090))/0.31)-0.47</f>
        <v>2.7658490188240226</v>
      </c>
    </row>
    <row r="117" spans="1:23" ht="17" x14ac:dyDescent="0.2">
      <c r="A117" s="8" t="s">
        <v>161</v>
      </c>
      <c r="B117" s="9" t="b">
        <v>0</v>
      </c>
      <c r="C117" s="31" t="s">
        <v>18</v>
      </c>
      <c r="D117" s="11">
        <v>1990</v>
      </c>
      <c r="E117" s="12">
        <v>15</v>
      </c>
      <c r="F117" s="11">
        <f>D117-W117</f>
        <v>1988.2227430982805</v>
      </c>
      <c r="G117" s="32" t="s">
        <v>147</v>
      </c>
      <c r="H117" s="20">
        <v>-21.1707082</v>
      </c>
      <c r="I117" s="20">
        <v>149.71089169999999</v>
      </c>
      <c r="J117">
        <v>100</v>
      </c>
      <c r="K117" t="s">
        <v>148</v>
      </c>
      <c r="L117" t="s">
        <v>33</v>
      </c>
      <c r="M117" t="s">
        <v>33</v>
      </c>
      <c r="N117" t="s">
        <v>239</v>
      </c>
      <c r="O117" t="s">
        <v>217</v>
      </c>
      <c r="P117" t="s">
        <v>219</v>
      </c>
      <c r="Q117" s="27">
        <v>550</v>
      </c>
      <c r="R117" s="27">
        <v>435</v>
      </c>
      <c r="S117" s="21">
        <v>24</v>
      </c>
      <c r="T117" s="21">
        <v>23</v>
      </c>
      <c r="U117" s="11">
        <f>4.89*R117-75</f>
        <v>2052.1499999999996</v>
      </c>
      <c r="V117" s="54" t="s">
        <v>79</v>
      </c>
      <c r="W117" s="16">
        <f>(-LN(1-(U117/4090))/0.31)-0.47</f>
        <v>1.7772569017195885</v>
      </c>
    </row>
    <row r="118" spans="1:23" ht="17" x14ac:dyDescent="0.2">
      <c r="A118" s="8" t="s">
        <v>162</v>
      </c>
      <c r="B118" s="9" t="b">
        <v>0</v>
      </c>
      <c r="C118" s="31" t="s">
        <v>18</v>
      </c>
      <c r="D118" s="11">
        <v>1990</v>
      </c>
      <c r="E118" s="12">
        <v>15</v>
      </c>
      <c r="F118" s="11">
        <f>D118-W118</f>
        <v>1987.8714442492862</v>
      </c>
      <c r="G118" s="32" t="s">
        <v>147</v>
      </c>
      <c r="H118" s="20">
        <v>-20.920977700000002</v>
      </c>
      <c r="I118" s="20">
        <v>149.6663279</v>
      </c>
      <c r="J118">
        <v>100</v>
      </c>
      <c r="K118" t="s">
        <v>148</v>
      </c>
      <c r="L118" t="s">
        <v>33</v>
      </c>
      <c r="M118" t="s">
        <v>33</v>
      </c>
      <c r="N118" t="s">
        <v>239</v>
      </c>
      <c r="O118" t="s">
        <v>217</v>
      </c>
      <c r="P118" t="s">
        <v>219</v>
      </c>
      <c r="Q118" s="21">
        <v>575</v>
      </c>
      <c r="R118" s="21">
        <v>478</v>
      </c>
      <c r="S118" s="21">
        <v>24</v>
      </c>
      <c r="T118" s="21">
        <v>24</v>
      </c>
      <c r="U118" s="11">
        <f>4.89*R118-75</f>
        <v>2262.42</v>
      </c>
      <c r="V118" s="54" t="s">
        <v>22</v>
      </c>
      <c r="W118" s="16">
        <f>(-LN(1-(U118/4090))/0.31)-0.47</f>
        <v>2.1285557507136934</v>
      </c>
    </row>
    <row r="119" spans="1:23" ht="17" x14ac:dyDescent="0.2">
      <c r="A119" s="8" t="s">
        <v>163</v>
      </c>
      <c r="B119" s="9" t="b">
        <v>0</v>
      </c>
      <c r="C119" s="31" t="s">
        <v>18</v>
      </c>
      <c r="D119" s="11">
        <v>1990</v>
      </c>
      <c r="E119" s="12">
        <v>15</v>
      </c>
      <c r="F119" s="11">
        <f>D119-W119</f>
        <v>1988.0883935181255</v>
      </c>
      <c r="G119" s="32" t="s">
        <v>147</v>
      </c>
      <c r="H119" s="20">
        <v>-22.083231000000001</v>
      </c>
      <c r="I119" s="20">
        <v>149.65137530000001</v>
      </c>
      <c r="J119">
        <v>100</v>
      </c>
      <c r="K119" t="s">
        <v>148</v>
      </c>
      <c r="L119" t="s">
        <v>33</v>
      </c>
      <c r="M119" t="s">
        <v>33</v>
      </c>
      <c r="N119" t="s">
        <v>239</v>
      </c>
      <c r="O119" t="s">
        <v>217</v>
      </c>
      <c r="P119" t="s">
        <v>219</v>
      </c>
      <c r="Q119" s="21">
        <v>561</v>
      </c>
      <c r="R119" s="21">
        <v>452</v>
      </c>
      <c r="S119" s="21">
        <v>20</v>
      </c>
      <c r="T119" s="21">
        <v>21</v>
      </c>
      <c r="U119" s="11">
        <f>4.89*R119-75</f>
        <v>2135.2799999999997</v>
      </c>
      <c r="V119" s="54" t="s">
        <v>79</v>
      </c>
      <c r="W119" s="16">
        <f>(-LN(1-(U119/4090))/0.31)-0.47</f>
        <v>1.9116064818745089</v>
      </c>
    </row>
    <row r="120" spans="1:23" ht="17" x14ac:dyDescent="0.2">
      <c r="A120" s="8" t="s">
        <v>164</v>
      </c>
      <c r="B120" s="9" t="b">
        <v>0</v>
      </c>
      <c r="C120" s="31" t="s">
        <v>18</v>
      </c>
      <c r="D120" s="11">
        <v>1990</v>
      </c>
      <c r="E120" s="12">
        <v>15</v>
      </c>
      <c r="F120" s="11">
        <f>D120-W120</f>
        <v>1988.120512273772</v>
      </c>
      <c r="G120" s="32" t="s">
        <v>147</v>
      </c>
      <c r="H120" s="20">
        <v>-21.856490300000001</v>
      </c>
      <c r="I120" s="20">
        <v>149.51386199999999</v>
      </c>
      <c r="J120">
        <v>100</v>
      </c>
      <c r="K120" t="s">
        <v>148</v>
      </c>
      <c r="L120" t="s">
        <v>33</v>
      </c>
      <c r="M120" t="s">
        <v>33</v>
      </c>
      <c r="N120" t="s">
        <v>239</v>
      </c>
      <c r="O120" t="s">
        <v>217</v>
      </c>
      <c r="P120" t="s">
        <v>219</v>
      </c>
      <c r="Q120" s="27">
        <v>580</v>
      </c>
      <c r="R120" s="27">
        <v>448</v>
      </c>
      <c r="S120" s="21">
        <v>21</v>
      </c>
      <c r="T120" s="21">
        <v>23</v>
      </c>
      <c r="U120" s="11">
        <f>4.89*R120-75</f>
        <v>2115.7199999999998</v>
      </c>
      <c r="V120" s="54" t="s">
        <v>79</v>
      </c>
      <c r="W120" s="16">
        <f>(-LN(1-(U120/4090))/0.31)-0.47</f>
        <v>1.8794877262280461</v>
      </c>
    </row>
    <row r="121" spans="1:23" x14ac:dyDescent="0.2">
      <c r="A121" s="28" t="s">
        <v>165</v>
      </c>
      <c r="B121" s="9" t="b">
        <v>0</v>
      </c>
      <c r="C121" s="18" t="s">
        <v>30</v>
      </c>
      <c r="D121" s="11">
        <v>1990</v>
      </c>
      <c r="E121" s="12">
        <v>20</v>
      </c>
      <c r="F121" s="11">
        <f>D121-W121</f>
        <v>1980.7666086441916</v>
      </c>
      <c r="G121" t="s">
        <v>166</v>
      </c>
      <c r="H121" s="20">
        <v>-12.64748</v>
      </c>
      <c r="I121" s="33">
        <v>140.953405</v>
      </c>
      <c r="J121" s="23">
        <v>20</v>
      </c>
      <c r="K121" t="s">
        <v>167</v>
      </c>
      <c r="L121" t="s">
        <v>143</v>
      </c>
      <c r="M121" t="s">
        <v>143</v>
      </c>
      <c r="N121" t="s">
        <v>235</v>
      </c>
      <c r="O121" t="s">
        <v>218</v>
      </c>
      <c r="P121" t="s">
        <v>220</v>
      </c>
      <c r="Q121" s="14"/>
      <c r="R121" s="21">
        <v>974</v>
      </c>
      <c r="S121" s="21">
        <v>25</v>
      </c>
      <c r="T121" s="21">
        <v>25</v>
      </c>
      <c r="U121" s="11">
        <f>3.843*R121+98</f>
        <v>3841.0819999999999</v>
      </c>
      <c r="V121" s="54" t="s">
        <v>22</v>
      </c>
      <c r="W121" s="16">
        <f>(-LN(1-(U121/5400))-0.1344)/0.12</f>
        <v>9.2333913558084806</v>
      </c>
    </row>
    <row r="122" spans="1:23" ht="17" x14ac:dyDescent="0.2">
      <c r="A122" s="29" t="s">
        <v>168</v>
      </c>
      <c r="B122" s="9" t="b">
        <v>1</v>
      </c>
      <c r="C122" s="10" t="s">
        <v>18</v>
      </c>
      <c r="D122" s="39">
        <v>1988</v>
      </c>
      <c r="E122" s="40">
        <v>5</v>
      </c>
      <c r="F122" s="11">
        <f>D122-W122</f>
        <v>1986.4060432172655</v>
      </c>
      <c r="G122" s="41" t="s">
        <v>169</v>
      </c>
      <c r="H122" s="38">
        <v>-15.2690658</v>
      </c>
      <c r="I122" s="38">
        <v>141.7993984</v>
      </c>
      <c r="J122" s="42">
        <v>30</v>
      </c>
      <c r="K122" s="43" t="s">
        <v>170</v>
      </c>
      <c r="L122" s="17" t="s">
        <v>27</v>
      </c>
      <c r="M122" s="17" t="s">
        <v>229</v>
      </c>
      <c r="N122" t="s">
        <v>233</v>
      </c>
      <c r="O122" t="s">
        <v>218</v>
      </c>
      <c r="P122" t="s">
        <v>220</v>
      </c>
      <c r="Q122" s="14"/>
      <c r="R122" s="14">
        <v>386.6</v>
      </c>
      <c r="S122" s="44">
        <v>20</v>
      </c>
      <c r="T122" s="44">
        <v>20</v>
      </c>
      <c r="U122" s="11">
        <f>R122/0.2</f>
        <v>1933</v>
      </c>
      <c r="V122" s="54" t="s">
        <v>28</v>
      </c>
      <c r="W122" s="16">
        <f>(-LN(1-(U122/4090))/0.31)-0.47</f>
        <v>1.5939567827344872</v>
      </c>
    </row>
    <row r="123" spans="1:23" x14ac:dyDescent="0.2">
      <c r="A123" s="8" t="s">
        <v>171</v>
      </c>
      <c r="B123" s="9" t="b">
        <v>0</v>
      </c>
      <c r="C123" s="10" t="s">
        <v>18</v>
      </c>
      <c r="D123" s="11">
        <v>2013</v>
      </c>
      <c r="E123" s="12">
        <v>2</v>
      </c>
      <c r="F123" s="11">
        <f>D123-W123</f>
        <v>2010.8809246156434</v>
      </c>
      <c r="G123" t="s">
        <v>172</v>
      </c>
      <c r="H123" s="38">
        <v>-14.892163699999999</v>
      </c>
      <c r="I123" s="38">
        <v>144.20537089999999</v>
      </c>
      <c r="J123">
        <v>20</v>
      </c>
      <c r="K123" t="s">
        <v>173</v>
      </c>
      <c r="L123" t="s">
        <v>21</v>
      </c>
      <c r="M123" t="s">
        <v>231</v>
      </c>
      <c r="N123" t="s">
        <v>243</v>
      </c>
      <c r="O123" t="s">
        <v>217</v>
      </c>
      <c r="P123" t="s">
        <v>220</v>
      </c>
      <c r="Q123" s="14">
        <v>593.70000000000005</v>
      </c>
      <c r="R123" s="14">
        <v>476.9</v>
      </c>
      <c r="S123" s="21">
        <v>19</v>
      </c>
      <c r="T123" s="21">
        <v>19</v>
      </c>
      <c r="U123" s="11">
        <f>4.89*R123-75</f>
        <v>2257.0409999999997</v>
      </c>
      <c r="V123" s="54" t="s">
        <v>22</v>
      </c>
      <c r="W123" s="16">
        <f>(-LN(1-(U123/4090))/0.31)-0.47</f>
        <v>2.1190753843565222</v>
      </c>
    </row>
    <row r="124" spans="1:23" ht="17" x14ac:dyDescent="0.2">
      <c r="A124" s="29" t="s">
        <v>174</v>
      </c>
      <c r="B124" s="9" t="b">
        <v>1</v>
      </c>
      <c r="C124" s="10" t="s">
        <v>18</v>
      </c>
      <c r="D124" s="39">
        <v>1988</v>
      </c>
      <c r="E124" s="12">
        <v>5</v>
      </c>
      <c r="F124" s="11">
        <f>D124-W124</f>
        <v>1985.4761835664119</v>
      </c>
      <c r="G124" s="41" t="s">
        <v>169</v>
      </c>
      <c r="H124" s="38">
        <v>-15.2476824</v>
      </c>
      <c r="I124" s="38">
        <v>141.70147230000001</v>
      </c>
      <c r="J124">
        <v>30</v>
      </c>
      <c r="K124" s="43" t="s">
        <v>170</v>
      </c>
      <c r="L124" s="17" t="s">
        <v>27</v>
      </c>
      <c r="M124" s="17" t="s">
        <v>229</v>
      </c>
      <c r="N124" t="s">
        <v>233</v>
      </c>
      <c r="O124" t="s">
        <v>218</v>
      </c>
      <c r="P124" t="s">
        <v>220</v>
      </c>
      <c r="Q124" s="14">
        <v>604.79999999999995</v>
      </c>
      <c r="R124" s="14">
        <v>521.1</v>
      </c>
      <c r="S124" s="21">
        <v>21</v>
      </c>
      <c r="T124" s="21">
        <v>21</v>
      </c>
      <c r="U124" s="11">
        <f>4.89*R124-75</f>
        <v>2473.1790000000001</v>
      </c>
      <c r="V124" s="54" t="s">
        <v>22</v>
      </c>
      <c r="W124" s="16">
        <f>(-LN(1-(U124/4090))/0.31)-0.47</f>
        <v>2.5238164335880393</v>
      </c>
    </row>
    <row r="125" spans="1:23" x14ac:dyDescent="0.2">
      <c r="A125" s="8" t="s">
        <v>175</v>
      </c>
      <c r="B125" s="9" t="b">
        <v>0</v>
      </c>
      <c r="C125" s="10" t="s">
        <v>18</v>
      </c>
      <c r="D125" s="11">
        <v>2013</v>
      </c>
      <c r="E125" s="12">
        <v>2</v>
      </c>
      <c r="F125" s="11">
        <f>D125-W125</f>
        <v>2010.6295554900646</v>
      </c>
      <c r="G125" t="s">
        <v>172</v>
      </c>
      <c r="H125" s="38">
        <v>-14.499446300000001</v>
      </c>
      <c r="I125" s="38">
        <v>144.15744699999999</v>
      </c>
      <c r="J125" s="15">
        <v>250</v>
      </c>
      <c r="K125" t="s">
        <v>173</v>
      </c>
      <c r="L125" t="s">
        <v>21</v>
      </c>
      <c r="M125" t="s">
        <v>231</v>
      </c>
      <c r="N125" t="s">
        <v>243</v>
      </c>
      <c r="O125" t="s">
        <v>217</v>
      </c>
      <c r="P125" t="s">
        <v>220</v>
      </c>
      <c r="Q125" s="14"/>
      <c r="R125" s="14">
        <v>505</v>
      </c>
      <c r="S125" s="45">
        <v>21</v>
      </c>
      <c r="T125" s="45">
        <v>22</v>
      </c>
      <c r="U125" s="11">
        <f>4.89*R125-75</f>
        <v>2394.4499999999998</v>
      </c>
      <c r="V125" s="54" t="s">
        <v>22</v>
      </c>
      <c r="W125" s="16">
        <f>(-LN(1-(U125/4090))/0.31)-0.47</f>
        <v>2.3704445099353562</v>
      </c>
    </row>
    <row r="126" spans="1:23" x14ac:dyDescent="0.2">
      <c r="A126" s="8" t="s">
        <v>176</v>
      </c>
      <c r="B126" s="9" t="b">
        <v>0</v>
      </c>
      <c r="C126" s="10" t="s">
        <v>18</v>
      </c>
      <c r="D126" s="11">
        <v>2018</v>
      </c>
      <c r="E126" s="12">
        <f>1/12</f>
        <v>8.3333333333333329E-2</v>
      </c>
      <c r="F126" s="11">
        <f>D126-W126</f>
        <v>2014.113814253619</v>
      </c>
      <c r="G126" t="s">
        <v>177</v>
      </c>
      <c r="H126" s="25">
        <v>-17.811230599999998</v>
      </c>
      <c r="I126" s="25">
        <v>146.762372</v>
      </c>
      <c r="J126" s="46">
        <v>80</v>
      </c>
      <c r="K126" t="s">
        <v>178</v>
      </c>
      <c r="L126" t="s">
        <v>21</v>
      </c>
      <c r="M126" s="17" t="s">
        <v>21</v>
      </c>
      <c r="N126" t="s">
        <v>245</v>
      </c>
      <c r="O126" t="s">
        <v>217</v>
      </c>
      <c r="P126" t="s">
        <v>220</v>
      </c>
      <c r="Q126" s="14"/>
      <c r="R126" s="45">
        <v>635</v>
      </c>
      <c r="S126" s="45">
        <v>24</v>
      </c>
      <c r="T126" s="45">
        <v>25</v>
      </c>
      <c r="U126" s="11">
        <f>4.89*R126-75</f>
        <v>3030.1499999999996</v>
      </c>
      <c r="V126" s="54" t="s">
        <v>22</v>
      </c>
      <c r="W126" s="16">
        <f>(-LN(1-(U126/4090))/0.31)-0.47</f>
        <v>3.8861857463809715</v>
      </c>
    </row>
    <row r="127" spans="1:23" x14ac:dyDescent="0.2">
      <c r="A127" s="8" t="s">
        <v>179</v>
      </c>
      <c r="B127" s="9" t="b">
        <v>0</v>
      </c>
      <c r="C127" s="10" t="s">
        <v>18</v>
      </c>
      <c r="D127" s="11">
        <v>1985</v>
      </c>
      <c r="E127" s="12">
        <v>10</v>
      </c>
      <c r="F127" s="11">
        <f>D127-W127</f>
        <v>1984.3441288061463</v>
      </c>
      <c r="G127" t="s">
        <v>180</v>
      </c>
      <c r="H127" s="47">
        <v>-19.962319999999998</v>
      </c>
      <c r="I127" s="47">
        <v>148.25247999999999</v>
      </c>
      <c r="J127" s="15">
        <v>20</v>
      </c>
      <c r="K127" s="48" t="s">
        <v>181</v>
      </c>
      <c r="L127" t="s">
        <v>21</v>
      </c>
      <c r="M127" s="17" t="s">
        <v>21</v>
      </c>
      <c r="N127" t="s">
        <v>242</v>
      </c>
      <c r="O127" t="s">
        <v>217</v>
      </c>
      <c r="P127" t="s">
        <v>224</v>
      </c>
      <c r="Q127" s="14"/>
      <c r="R127" s="21">
        <v>241</v>
      </c>
      <c r="S127" s="21">
        <v>21</v>
      </c>
      <c r="T127" s="21">
        <v>21</v>
      </c>
      <c r="U127" s="11">
        <f>R127/0.2</f>
        <v>1205</v>
      </c>
      <c r="V127" s="54" t="s">
        <v>35</v>
      </c>
      <c r="W127" s="16">
        <f>(-LN(1-(U127/4090))/0.31)-0.47</f>
        <v>0.65587119385370141</v>
      </c>
    </row>
    <row r="128" spans="1:23" x14ac:dyDescent="0.2">
      <c r="A128" s="49" t="s">
        <v>182</v>
      </c>
      <c r="B128" s="9" t="b">
        <v>0</v>
      </c>
      <c r="C128" s="31" t="s">
        <v>24</v>
      </c>
      <c r="D128" s="11">
        <v>2008</v>
      </c>
      <c r="E128" s="12">
        <v>1</v>
      </c>
      <c r="F128" s="11">
        <f>D128-W128</f>
        <v>2004.698715751807</v>
      </c>
      <c r="G128" t="s">
        <v>183</v>
      </c>
      <c r="H128" s="33">
        <v>-17.508137999999999</v>
      </c>
      <c r="I128" s="33">
        <v>140.73026999999999</v>
      </c>
      <c r="J128" s="23">
        <v>25</v>
      </c>
      <c r="K128" t="s">
        <v>184</v>
      </c>
      <c r="L128" s="17" t="s">
        <v>27</v>
      </c>
      <c r="M128" t="s">
        <v>228</v>
      </c>
      <c r="N128" t="s">
        <v>244</v>
      </c>
      <c r="O128" t="s">
        <v>218</v>
      </c>
      <c r="P128" t="s">
        <v>220</v>
      </c>
      <c r="Q128" s="21">
        <v>482</v>
      </c>
      <c r="R128" s="21">
        <v>472</v>
      </c>
      <c r="S128" s="21">
        <v>19</v>
      </c>
      <c r="T128" s="21">
        <v>18</v>
      </c>
      <c r="U128" s="11">
        <f>R128/0.23</f>
        <v>2052.173913043478</v>
      </c>
      <c r="V128" s="54" t="s">
        <v>28</v>
      </c>
      <c r="W128" s="16">
        <f>(-LN(1-(U128/6380))-0.124)/0.08</f>
        <v>3.3012842481929994</v>
      </c>
    </row>
    <row r="129" spans="1:23" ht="17" x14ac:dyDescent="0.2">
      <c r="A129" s="8" t="s">
        <v>185</v>
      </c>
      <c r="B129" s="9" t="b">
        <v>0</v>
      </c>
      <c r="C129" s="31" t="s">
        <v>30</v>
      </c>
      <c r="D129" s="11">
        <v>2005</v>
      </c>
      <c r="E129" s="12">
        <v>10</v>
      </c>
      <c r="F129" s="11">
        <f>D129-W129</f>
        <v>2002.3110723587884</v>
      </c>
      <c r="G129" s="50" t="s">
        <v>186</v>
      </c>
      <c r="H129" s="13">
        <v>-17.387328700000001</v>
      </c>
      <c r="I129" s="13">
        <v>140.6951703</v>
      </c>
      <c r="J129">
        <v>250</v>
      </c>
      <c r="K129" s="43" t="s">
        <v>187</v>
      </c>
      <c r="L129" s="17" t="s">
        <v>27</v>
      </c>
      <c r="M129" s="17" t="s">
        <v>230</v>
      </c>
      <c r="N129" t="s">
        <v>234</v>
      </c>
      <c r="O129" t="s">
        <v>218</v>
      </c>
      <c r="P129" t="s">
        <v>220</v>
      </c>
      <c r="Q129" s="14"/>
      <c r="R129" s="14">
        <v>490</v>
      </c>
      <c r="S129" s="21">
        <v>25</v>
      </c>
      <c r="T129" s="21">
        <v>24</v>
      </c>
      <c r="U129" s="11">
        <f>3.843*R129+98</f>
        <v>1981.07</v>
      </c>
      <c r="V129" s="54" t="s">
        <v>28</v>
      </c>
      <c r="W129" s="16">
        <f>(-LN(1-(U129/5400))-0.1344)/0.12</f>
        <v>2.6889276412117598</v>
      </c>
    </row>
    <row r="130" spans="1:23" ht="17" x14ac:dyDescent="0.2">
      <c r="A130" s="8" t="s">
        <v>188</v>
      </c>
      <c r="B130" s="9" t="b">
        <v>0</v>
      </c>
      <c r="C130" s="18" t="s">
        <v>30</v>
      </c>
      <c r="D130" s="11">
        <v>2005</v>
      </c>
      <c r="E130" s="12">
        <v>10</v>
      </c>
      <c r="F130" s="11">
        <f>D130-W130</f>
        <v>2003.4802526087144</v>
      </c>
      <c r="G130" s="50" t="s">
        <v>186</v>
      </c>
      <c r="H130" s="13">
        <v>-15.0489297</v>
      </c>
      <c r="I130" s="13">
        <v>141.5984172</v>
      </c>
      <c r="J130">
        <v>250</v>
      </c>
      <c r="K130" s="43" t="s">
        <v>187</v>
      </c>
      <c r="L130" s="17" t="s">
        <v>27</v>
      </c>
      <c r="M130" s="17" t="s">
        <v>230</v>
      </c>
      <c r="N130" t="s">
        <v>234</v>
      </c>
      <c r="O130" t="s">
        <v>218</v>
      </c>
      <c r="P130" t="s">
        <v>220</v>
      </c>
      <c r="Q130" s="14"/>
      <c r="R130" s="21">
        <v>356</v>
      </c>
      <c r="S130" s="21">
        <v>26</v>
      </c>
      <c r="T130" s="21">
        <v>27</v>
      </c>
      <c r="U130" s="11">
        <f>3.843*R130+98</f>
        <v>1466.1079999999999</v>
      </c>
      <c r="V130" s="54" t="s">
        <v>28</v>
      </c>
      <c r="W130" s="16">
        <f>(-LN(1-(U130/5400))-0.1344)/0.12</f>
        <v>1.5197473912856112</v>
      </c>
    </row>
    <row r="131" spans="1:23" ht="17" x14ac:dyDescent="0.2">
      <c r="A131" s="8" t="s">
        <v>189</v>
      </c>
      <c r="B131" s="9" t="b">
        <v>0</v>
      </c>
      <c r="C131" s="10" t="s">
        <v>24</v>
      </c>
      <c r="D131" s="11">
        <v>2005</v>
      </c>
      <c r="E131" s="12">
        <v>10</v>
      </c>
      <c r="F131" s="11">
        <f>D131-W131</f>
        <v>2001.8112277625441</v>
      </c>
      <c r="G131" s="50" t="s">
        <v>186</v>
      </c>
      <c r="H131" s="13">
        <v>-16.398595799999999</v>
      </c>
      <c r="I131" s="13">
        <v>139.44741289999999</v>
      </c>
      <c r="J131">
        <v>250</v>
      </c>
      <c r="K131" s="43" t="s">
        <v>187</v>
      </c>
      <c r="L131" s="17" t="s">
        <v>27</v>
      </c>
      <c r="M131" s="17" t="s">
        <v>230</v>
      </c>
      <c r="N131" t="s">
        <v>234</v>
      </c>
      <c r="O131" t="s">
        <v>218</v>
      </c>
      <c r="P131" t="s">
        <v>220</v>
      </c>
      <c r="Q131" s="14"/>
      <c r="R131" s="21">
        <v>463</v>
      </c>
      <c r="S131" s="21">
        <v>19</v>
      </c>
      <c r="T131" s="21">
        <v>19</v>
      </c>
      <c r="U131" s="11">
        <f>R131/0.23</f>
        <v>2013.0434782608695</v>
      </c>
      <c r="V131" s="54" t="s">
        <v>28</v>
      </c>
      <c r="W131" s="16">
        <f>(-LN(1-(U131/6380))-0.124)/0.08</f>
        <v>3.1887722374558001</v>
      </c>
    </row>
    <row r="132" spans="1:23" ht="17" x14ac:dyDescent="0.2">
      <c r="A132" s="49" t="s">
        <v>190</v>
      </c>
      <c r="B132" s="9" t="b">
        <v>0</v>
      </c>
      <c r="C132" s="10" t="s">
        <v>24</v>
      </c>
      <c r="D132" s="11">
        <v>2019</v>
      </c>
      <c r="E132" s="12">
        <v>0.5</v>
      </c>
      <c r="F132" s="11">
        <f>D132-W132</f>
        <v>2015.5978477443109</v>
      </c>
      <c r="G132" s="41" t="s">
        <v>191</v>
      </c>
      <c r="H132" s="51">
        <v>-15.201366999999999</v>
      </c>
      <c r="I132" s="51">
        <v>141.59161</v>
      </c>
      <c r="J132">
        <v>5</v>
      </c>
      <c r="K132" s="43" t="s">
        <v>170</v>
      </c>
      <c r="L132" s="17" t="s">
        <v>27</v>
      </c>
      <c r="M132" s="17" t="s">
        <v>229</v>
      </c>
      <c r="N132" t="s">
        <v>233</v>
      </c>
      <c r="O132" t="s">
        <v>218</v>
      </c>
      <c r="P132" t="s">
        <v>220</v>
      </c>
      <c r="Q132" s="14">
        <v>491</v>
      </c>
      <c r="R132" s="21">
        <v>480</v>
      </c>
      <c r="S132" s="21">
        <v>20</v>
      </c>
      <c r="T132" s="21">
        <v>22</v>
      </c>
      <c r="U132" s="11">
        <f>R132/0.23</f>
        <v>2086.9565217391305</v>
      </c>
      <c r="V132" s="54" t="s">
        <v>28</v>
      </c>
      <c r="W132" s="16">
        <f>(-LN(1-(U132/6380))-0.124)/0.08</f>
        <v>3.4021522556891419</v>
      </c>
    </row>
    <row r="133" spans="1:23" ht="17" x14ac:dyDescent="0.2">
      <c r="A133" s="8" t="s">
        <v>192</v>
      </c>
      <c r="B133" s="9" t="b">
        <v>1</v>
      </c>
      <c r="C133" s="10" t="s">
        <v>24</v>
      </c>
      <c r="D133" s="11">
        <v>2019</v>
      </c>
      <c r="E133" s="12">
        <v>0.5</v>
      </c>
      <c r="F133" s="11">
        <f>D133-W133</f>
        <v>2015.9473812029175</v>
      </c>
      <c r="G133" s="41" t="s">
        <v>191</v>
      </c>
      <c r="H133" s="51">
        <v>-15.201366999999999</v>
      </c>
      <c r="I133" s="51">
        <v>141.59161</v>
      </c>
      <c r="J133">
        <v>5</v>
      </c>
      <c r="K133" s="43" t="s">
        <v>170</v>
      </c>
      <c r="L133" s="17" t="s">
        <v>27</v>
      </c>
      <c r="M133" s="17" t="s">
        <v>229</v>
      </c>
      <c r="N133" t="s">
        <v>233</v>
      </c>
      <c r="O133" t="s">
        <v>218</v>
      </c>
      <c r="P133" t="s">
        <v>220</v>
      </c>
      <c r="Q133" s="45">
        <v>472</v>
      </c>
      <c r="R133" s="21">
        <v>452</v>
      </c>
      <c r="S133" s="21">
        <v>22</v>
      </c>
      <c r="T133" s="21">
        <v>22</v>
      </c>
      <c r="U133" s="11">
        <f>R133/0.23</f>
        <v>1965.2173913043478</v>
      </c>
      <c r="V133" s="54" t="s">
        <v>28</v>
      </c>
      <c r="W133" s="16">
        <f>(-LN(1-(U133/6380))-0.124)/0.08</f>
        <v>3.0526187970824994</v>
      </c>
    </row>
    <row r="134" spans="1:23" ht="17" x14ac:dyDescent="0.2">
      <c r="A134" s="8" t="s">
        <v>193</v>
      </c>
      <c r="B134" s="9" t="b">
        <v>0</v>
      </c>
      <c r="C134" s="10" t="s">
        <v>24</v>
      </c>
      <c r="D134" s="11">
        <v>2019</v>
      </c>
      <c r="E134" s="12">
        <v>0.5</v>
      </c>
      <c r="F134" s="11">
        <f>D134-W134</f>
        <v>2015.4578116529865</v>
      </c>
      <c r="G134" s="41" t="s">
        <v>191</v>
      </c>
      <c r="H134" s="51">
        <v>-15.201366999999999</v>
      </c>
      <c r="I134" s="51">
        <v>141.59161</v>
      </c>
      <c r="J134">
        <v>5</v>
      </c>
      <c r="K134" s="43" t="s">
        <v>170</v>
      </c>
      <c r="L134" s="17" t="s">
        <v>27</v>
      </c>
      <c r="M134" s="17" t="s">
        <v>229</v>
      </c>
      <c r="N134" t="s">
        <v>233</v>
      </c>
      <c r="O134" t="s">
        <v>218</v>
      </c>
      <c r="P134" t="s">
        <v>220</v>
      </c>
      <c r="Q134" s="21">
        <v>517</v>
      </c>
      <c r="R134" s="21">
        <v>491</v>
      </c>
      <c r="S134" s="21">
        <v>20</v>
      </c>
      <c r="T134" s="21">
        <v>21</v>
      </c>
      <c r="U134" s="11">
        <f>R134/0.23</f>
        <v>2134.782608695652</v>
      </c>
      <c r="V134" s="54" t="s">
        <v>28</v>
      </c>
      <c r="W134" s="16">
        <f>(-LN(1-(U134/6380))-0.124)/0.08</f>
        <v>3.5421883470136111</v>
      </c>
    </row>
    <row r="135" spans="1:23" ht="17" x14ac:dyDescent="0.2">
      <c r="A135" s="49" t="s">
        <v>194</v>
      </c>
      <c r="B135" s="9" t="b">
        <v>0</v>
      </c>
      <c r="C135" s="10" t="s">
        <v>24</v>
      </c>
      <c r="D135" s="11">
        <v>2019</v>
      </c>
      <c r="E135" s="12">
        <v>0.5</v>
      </c>
      <c r="F135" s="11">
        <f>D135-W135</f>
        <v>2015.8236668122322</v>
      </c>
      <c r="G135" s="41" t="s">
        <v>191</v>
      </c>
      <c r="H135" s="51">
        <v>-15.201366999999999</v>
      </c>
      <c r="I135" s="51">
        <v>141.59161</v>
      </c>
      <c r="J135">
        <v>5</v>
      </c>
      <c r="K135" s="43" t="s">
        <v>170</v>
      </c>
      <c r="L135" s="17" t="s">
        <v>27</v>
      </c>
      <c r="M135" s="17" t="s">
        <v>229</v>
      </c>
      <c r="N135" t="s">
        <v>233</v>
      </c>
      <c r="O135" t="s">
        <v>218</v>
      </c>
      <c r="P135" t="s">
        <v>220</v>
      </c>
      <c r="Q135" s="45">
        <v>481</v>
      </c>
      <c r="R135" s="21">
        <v>462</v>
      </c>
      <c r="S135" s="21">
        <v>22</v>
      </c>
      <c r="T135" s="21">
        <v>22</v>
      </c>
      <c r="U135" s="11">
        <f>R135/0.23</f>
        <v>2008.695652173913</v>
      </c>
      <c r="V135" s="54" t="s">
        <v>28</v>
      </c>
      <c r="W135" s="16">
        <f>(-LN(1-(U135/6380))-0.124)/0.08</f>
        <v>3.1763331877677379</v>
      </c>
    </row>
    <row r="136" spans="1:23" ht="17" x14ac:dyDescent="0.2">
      <c r="A136" s="49" t="s">
        <v>195</v>
      </c>
      <c r="B136" s="9" t="b">
        <v>0</v>
      </c>
      <c r="C136" s="10" t="s">
        <v>24</v>
      </c>
      <c r="D136" s="11">
        <v>2019</v>
      </c>
      <c r="E136" s="12">
        <v>0.5</v>
      </c>
      <c r="F136" s="11">
        <f>D136-W136</f>
        <v>2016.1185497617346</v>
      </c>
      <c r="G136" s="41" t="s">
        <v>191</v>
      </c>
      <c r="H136" s="51">
        <v>-15.201366999999999</v>
      </c>
      <c r="I136" s="51">
        <v>141.59161</v>
      </c>
      <c r="J136">
        <v>5</v>
      </c>
      <c r="K136" s="43" t="s">
        <v>170</v>
      </c>
      <c r="L136" s="17" t="s">
        <v>27</v>
      </c>
      <c r="M136" s="17" t="s">
        <v>229</v>
      </c>
      <c r="N136" t="s">
        <v>233</v>
      </c>
      <c r="O136" t="s">
        <v>218</v>
      </c>
      <c r="P136" t="s">
        <v>220</v>
      </c>
      <c r="Q136" s="21">
        <v>460</v>
      </c>
      <c r="R136" s="21">
        <v>438</v>
      </c>
      <c r="S136" s="21">
        <v>20</v>
      </c>
      <c r="T136" s="21">
        <v>21</v>
      </c>
      <c r="U136" s="11">
        <f>R136/0.23</f>
        <v>1904.3478260869565</v>
      </c>
      <c r="V136" s="54" t="s">
        <v>28</v>
      </c>
      <c r="W136" s="16">
        <f>(-LN(1-(U136/6380))-0.124)/0.08</f>
        <v>2.8814502382654967</v>
      </c>
    </row>
    <row r="137" spans="1:23" ht="17" x14ac:dyDescent="0.2">
      <c r="A137" s="8" t="s">
        <v>196</v>
      </c>
      <c r="B137" s="9" t="b">
        <v>0</v>
      </c>
      <c r="C137" s="10" t="s">
        <v>24</v>
      </c>
      <c r="D137" s="11">
        <v>2019</v>
      </c>
      <c r="E137" s="12">
        <v>0.5</v>
      </c>
      <c r="F137" s="11">
        <f>D137-W137</f>
        <v>2016.1549257695572</v>
      </c>
      <c r="G137" s="41" t="s">
        <v>191</v>
      </c>
      <c r="H137" s="51">
        <v>-15.201366999999999</v>
      </c>
      <c r="I137" s="51">
        <v>141.59161</v>
      </c>
      <c r="J137">
        <v>5</v>
      </c>
      <c r="K137" s="43" t="s">
        <v>170</v>
      </c>
      <c r="L137" s="17" t="s">
        <v>27</v>
      </c>
      <c r="M137" s="17" t="s">
        <v>229</v>
      </c>
      <c r="N137" t="s">
        <v>233</v>
      </c>
      <c r="O137" t="s">
        <v>218</v>
      </c>
      <c r="P137" t="s">
        <v>220</v>
      </c>
      <c r="Q137" s="21">
        <v>455</v>
      </c>
      <c r="R137" s="21">
        <v>435</v>
      </c>
      <c r="S137" s="21">
        <v>19</v>
      </c>
      <c r="T137" s="21">
        <v>19</v>
      </c>
      <c r="U137" s="11">
        <f>R137/0.23</f>
        <v>1891.3043478260868</v>
      </c>
      <c r="V137" s="54" t="s">
        <v>28</v>
      </c>
      <c r="W137" s="16">
        <f>(-LN(1-(U137/6380))-0.124)/0.08</f>
        <v>2.8450742304429379</v>
      </c>
    </row>
    <row r="138" spans="1:23" ht="17" x14ac:dyDescent="0.2">
      <c r="A138" s="8" t="s">
        <v>197</v>
      </c>
      <c r="B138" s="9" t="b">
        <v>0</v>
      </c>
      <c r="C138" s="10" t="s">
        <v>24</v>
      </c>
      <c r="D138" s="11">
        <v>2019</v>
      </c>
      <c r="E138" s="12">
        <v>0.5</v>
      </c>
      <c r="F138" s="11">
        <f>D138-W138</f>
        <v>2015.3032342503391</v>
      </c>
      <c r="G138" s="41" t="s">
        <v>191</v>
      </c>
      <c r="H138" s="51">
        <v>-15.201366999999999</v>
      </c>
      <c r="I138" s="51">
        <v>141.59161</v>
      </c>
      <c r="J138">
        <v>5</v>
      </c>
      <c r="K138" s="43" t="s">
        <v>170</v>
      </c>
      <c r="L138" s="17" t="s">
        <v>27</v>
      </c>
      <c r="M138" s="17" t="s">
        <v>229</v>
      </c>
      <c r="N138" t="s">
        <v>233</v>
      </c>
      <c r="O138" t="s">
        <v>218</v>
      </c>
      <c r="P138" t="s">
        <v>220</v>
      </c>
      <c r="Q138" s="21">
        <v>525</v>
      </c>
      <c r="R138" s="45">
        <v>503</v>
      </c>
      <c r="S138" s="21">
        <v>19</v>
      </c>
      <c r="T138" s="21">
        <v>19</v>
      </c>
      <c r="U138" s="11">
        <f>R138/0.23</f>
        <v>2186.9565217391305</v>
      </c>
      <c r="V138" s="54" t="s">
        <v>28</v>
      </c>
      <c r="W138" s="16">
        <f>(-LN(1-(U138/6380))-0.124)/0.08</f>
        <v>3.6967657496609747</v>
      </c>
    </row>
    <row r="139" spans="1:23" ht="17" x14ac:dyDescent="0.2">
      <c r="A139" s="8" t="s">
        <v>198</v>
      </c>
      <c r="B139" s="9" t="b">
        <v>0</v>
      </c>
      <c r="C139" s="10" t="s">
        <v>24</v>
      </c>
      <c r="D139" s="11">
        <v>2019</v>
      </c>
      <c r="E139" s="12">
        <v>0.5</v>
      </c>
      <c r="F139" s="11">
        <f>D139-W139</f>
        <v>2015.5216589671988</v>
      </c>
      <c r="G139" s="41" t="s">
        <v>191</v>
      </c>
      <c r="H139" s="51">
        <v>-15.201366999999999</v>
      </c>
      <c r="I139" s="51">
        <v>141.59161</v>
      </c>
      <c r="J139">
        <v>5</v>
      </c>
      <c r="K139" s="43" t="s">
        <v>170</v>
      </c>
      <c r="L139" s="17" t="s">
        <v>27</v>
      </c>
      <c r="M139" s="17" t="s">
        <v>229</v>
      </c>
      <c r="N139" t="s">
        <v>233</v>
      </c>
      <c r="O139" t="s">
        <v>218</v>
      </c>
      <c r="P139" t="s">
        <v>220</v>
      </c>
      <c r="Q139" s="45">
        <v>507</v>
      </c>
      <c r="R139" s="21">
        <v>486</v>
      </c>
      <c r="S139" s="21">
        <v>20</v>
      </c>
      <c r="T139" s="21">
        <v>21</v>
      </c>
      <c r="U139" s="11">
        <f>R139/0.23</f>
        <v>2113.0434782608695</v>
      </c>
      <c r="V139" s="54" t="s">
        <v>28</v>
      </c>
      <c r="W139" s="16">
        <f>(-LN(1-(U139/6380))-0.124)/0.08</f>
        <v>3.4783410328011359</v>
      </c>
    </row>
    <row r="140" spans="1:23" ht="17" x14ac:dyDescent="0.2">
      <c r="A140" s="8" t="s">
        <v>199</v>
      </c>
      <c r="B140" s="9" t="b">
        <v>1</v>
      </c>
      <c r="C140" s="10" t="s">
        <v>24</v>
      </c>
      <c r="D140" s="11">
        <v>2019</v>
      </c>
      <c r="E140" s="12">
        <v>0.5</v>
      </c>
      <c r="F140" s="11">
        <f>D140-W140</f>
        <v>2016.4658275815107</v>
      </c>
      <c r="G140" s="41" t="s">
        <v>191</v>
      </c>
      <c r="H140" s="51">
        <v>-15.201366999999999</v>
      </c>
      <c r="I140" s="51">
        <v>141.59161</v>
      </c>
      <c r="J140">
        <v>5</v>
      </c>
      <c r="K140" s="43" t="s">
        <v>170</v>
      </c>
      <c r="L140" s="17" t="s">
        <v>27</v>
      </c>
      <c r="M140" s="17" t="s">
        <v>229</v>
      </c>
      <c r="N140" t="s">
        <v>233</v>
      </c>
      <c r="O140" t="s">
        <v>218</v>
      </c>
      <c r="P140" t="s">
        <v>220</v>
      </c>
      <c r="Q140" s="45"/>
      <c r="R140" s="21">
        <v>409</v>
      </c>
      <c r="S140" s="21">
        <v>20</v>
      </c>
      <c r="T140" s="21">
        <v>19</v>
      </c>
      <c r="U140" s="11">
        <f>R140/0.23</f>
        <v>1778.2608695652173</v>
      </c>
      <c r="V140" s="54" t="s">
        <v>28</v>
      </c>
      <c r="W140" s="16">
        <f>(-LN(1-(U140/6380))-0.124)/0.08</f>
        <v>2.5341724184893479</v>
      </c>
    </row>
    <row r="141" spans="1:23" x14ac:dyDescent="0.2">
      <c r="A141" s="8" t="s">
        <v>200</v>
      </c>
      <c r="B141" s="9" t="b">
        <v>0</v>
      </c>
      <c r="C141" s="10" t="s">
        <v>18</v>
      </c>
      <c r="D141" s="11">
        <v>2007</v>
      </c>
      <c r="E141" s="12">
        <v>2</v>
      </c>
      <c r="F141" s="11">
        <f>D141-W141</f>
        <v>2005.7771695810125</v>
      </c>
      <c r="G141" t="s">
        <v>201</v>
      </c>
      <c r="H141" s="52">
        <v>-24.9649</v>
      </c>
      <c r="I141" s="52">
        <v>153.08410000000001</v>
      </c>
      <c r="J141" s="53">
        <v>20</v>
      </c>
      <c r="K141" t="s">
        <v>202</v>
      </c>
      <c r="L141" t="s">
        <v>203</v>
      </c>
      <c r="M141" t="s">
        <v>203</v>
      </c>
      <c r="N141" t="s">
        <v>237</v>
      </c>
      <c r="O141" t="s">
        <v>217</v>
      </c>
      <c r="P141" t="s">
        <v>219</v>
      </c>
      <c r="Q141" s="21">
        <v>433</v>
      </c>
      <c r="R141" s="21">
        <v>334</v>
      </c>
      <c r="S141" s="21">
        <v>22</v>
      </c>
      <c r="T141" s="21">
        <v>23</v>
      </c>
      <c r="U141" s="11">
        <f>R141/0.2</f>
        <v>1670</v>
      </c>
      <c r="V141" s="54" t="s">
        <v>28</v>
      </c>
      <c r="W141" s="16">
        <f>(-LN(1-(U141/4090))/0.31)-0.47</f>
        <v>1.2228304189874692</v>
      </c>
    </row>
    <row r="142" spans="1:23" x14ac:dyDescent="0.2">
      <c r="A142" s="8" t="s">
        <v>204</v>
      </c>
      <c r="B142" s="9" t="b">
        <v>0</v>
      </c>
      <c r="C142" s="10" t="s">
        <v>18</v>
      </c>
      <c r="D142" s="11">
        <v>2016</v>
      </c>
      <c r="E142" s="12">
        <v>1</v>
      </c>
      <c r="F142" s="11">
        <f>D142-W142</f>
        <v>2013.535154680543</v>
      </c>
      <c r="G142" t="s">
        <v>205</v>
      </c>
      <c r="H142" s="13">
        <v>-17.842158000000001</v>
      </c>
      <c r="I142" s="13">
        <v>146.11831799999999</v>
      </c>
      <c r="J142" s="15">
        <v>20</v>
      </c>
      <c r="K142" t="s">
        <v>206</v>
      </c>
      <c r="L142" t="s">
        <v>21</v>
      </c>
      <c r="M142" s="17" t="s">
        <v>21</v>
      </c>
      <c r="N142" t="s">
        <v>245</v>
      </c>
      <c r="O142" t="s">
        <v>217</v>
      </c>
      <c r="P142" t="s">
        <v>220</v>
      </c>
      <c r="Q142" s="14">
        <v>572</v>
      </c>
      <c r="R142" s="14">
        <v>515</v>
      </c>
      <c r="S142" s="14">
        <v>21</v>
      </c>
      <c r="T142" s="14">
        <v>23</v>
      </c>
      <c r="U142" s="11">
        <f>4.89*R142-75</f>
        <v>2443.35</v>
      </c>
      <c r="V142" s="54" t="s">
        <v>22</v>
      </c>
      <c r="W142" s="16">
        <f>(-LN(1-(U142/4090))/0.31)-0.47</f>
        <v>2.4648453194571003</v>
      </c>
    </row>
    <row r="143" spans="1:23" x14ac:dyDescent="0.2">
      <c r="A143" s="8" t="s">
        <v>207</v>
      </c>
      <c r="B143" s="9" t="b">
        <v>0</v>
      </c>
      <c r="C143" s="10" t="s">
        <v>18</v>
      </c>
      <c r="D143" s="11">
        <v>2005</v>
      </c>
      <c r="E143" s="12">
        <v>2</v>
      </c>
      <c r="F143" s="11">
        <f>D143-W143</f>
        <v>2002.7122168955825</v>
      </c>
      <c r="G143" t="s">
        <v>208</v>
      </c>
      <c r="H143" s="25">
        <v>-17.363314599999999</v>
      </c>
      <c r="I143" s="25">
        <v>140.78494259999999</v>
      </c>
      <c r="J143">
        <v>50</v>
      </c>
      <c r="K143" t="s">
        <v>26</v>
      </c>
      <c r="L143" t="s">
        <v>27</v>
      </c>
      <c r="M143" t="s">
        <v>228</v>
      </c>
      <c r="N143" t="s">
        <v>244</v>
      </c>
      <c r="O143" t="s">
        <v>218</v>
      </c>
      <c r="P143" t="s">
        <v>220</v>
      </c>
      <c r="Q143" s="14">
        <v>622</v>
      </c>
      <c r="R143" s="14">
        <v>496</v>
      </c>
      <c r="S143" s="14">
        <v>21</v>
      </c>
      <c r="T143" s="14">
        <v>22</v>
      </c>
      <c r="U143" s="11">
        <f>4.89*R143-75</f>
        <v>2350.44</v>
      </c>
      <c r="V143" s="54" t="s">
        <v>22</v>
      </c>
      <c r="W143" s="16">
        <f>(-LN(1-(U143/4090))/0.31)-0.47</f>
        <v>2.2877831044174251</v>
      </c>
    </row>
    <row r="144" spans="1:23" x14ac:dyDescent="0.2">
      <c r="A144" s="8" t="s">
        <v>209</v>
      </c>
      <c r="B144" s="9" t="b">
        <v>0</v>
      </c>
      <c r="C144" s="10" t="s">
        <v>18</v>
      </c>
      <c r="D144" s="11">
        <v>2019</v>
      </c>
      <c r="E144" s="12">
        <v>0</v>
      </c>
      <c r="F144" s="11">
        <f>D144-W144</f>
        <v>2014.4189714343615</v>
      </c>
      <c r="G144" t="s">
        <v>210</v>
      </c>
      <c r="H144" s="13">
        <v>-19.808553</v>
      </c>
      <c r="I144" s="13">
        <v>147.66145499999999</v>
      </c>
      <c r="J144">
        <v>1</v>
      </c>
      <c r="K144" t="s">
        <v>211</v>
      </c>
      <c r="L144" t="s">
        <v>21</v>
      </c>
      <c r="M144" s="17" t="s">
        <v>21</v>
      </c>
      <c r="N144" t="s">
        <v>242</v>
      </c>
      <c r="O144" t="s">
        <v>217</v>
      </c>
      <c r="P144" t="s">
        <v>224</v>
      </c>
      <c r="Q144" s="21">
        <v>755</v>
      </c>
      <c r="R144" s="21">
        <v>677</v>
      </c>
      <c r="S144" s="21">
        <v>22</v>
      </c>
      <c r="T144" s="21">
        <v>24</v>
      </c>
      <c r="U144" s="11">
        <f>4.89*R144-75</f>
        <v>3235.5299999999997</v>
      </c>
      <c r="V144" s="54" t="s">
        <v>22</v>
      </c>
      <c r="W144" s="16">
        <f>(-LN(1-(U144/4090))/0.31)-0.47</f>
        <v>4.5810285656385474</v>
      </c>
    </row>
    <row r="145" spans="1:23" x14ac:dyDescent="0.2">
      <c r="A145" s="8" t="s">
        <v>212</v>
      </c>
      <c r="B145" s="9" t="b">
        <v>0</v>
      </c>
      <c r="C145" s="10" t="s">
        <v>18</v>
      </c>
      <c r="D145" s="11">
        <v>2019</v>
      </c>
      <c r="E145" s="12">
        <v>0</v>
      </c>
      <c r="F145" s="11">
        <f>D145-W145</f>
        <v>2016.4868976858045</v>
      </c>
      <c r="G145" t="s">
        <v>210</v>
      </c>
      <c r="H145" s="13">
        <v>-19.808553</v>
      </c>
      <c r="I145" s="13">
        <v>147.66145499999999</v>
      </c>
      <c r="J145">
        <v>1</v>
      </c>
      <c r="K145" t="s">
        <v>211</v>
      </c>
      <c r="L145" t="s">
        <v>21</v>
      </c>
      <c r="M145" s="17" t="s">
        <v>21</v>
      </c>
      <c r="N145" t="s">
        <v>242</v>
      </c>
      <c r="O145" t="s">
        <v>217</v>
      </c>
      <c r="P145" t="s">
        <v>224</v>
      </c>
      <c r="Q145" s="21">
        <v>709</v>
      </c>
      <c r="R145" s="21">
        <v>520</v>
      </c>
      <c r="S145" s="21">
        <v>22</v>
      </c>
      <c r="T145" s="21">
        <v>22</v>
      </c>
      <c r="U145" s="11">
        <f>4.89*R145-75</f>
        <v>2467.7999999999997</v>
      </c>
      <c r="V145" s="54" t="s">
        <v>22</v>
      </c>
      <c r="W145" s="16">
        <f>(-LN(1-(U145/4090))/0.31)-0.47</f>
        <v>2.5131023141954936</v>
      </c>
    </row>
    <row r="146" spans="1:23" x14ac:dyDescent="0.2">
      <c r="A146" s="8" t="s">
        <v>213</v>
      </c>
      <c r="B146" s="9" t="b">
        <v>1</v>
      </c>
      <c r="C146" s="10" t="s">
        <v>24</v>
      </c>
      <c r="D146" s="11">
        <v>2023</v>
      </c>
      <c r="E146" s="12">
        <v>0</v>
      </c>
      <c r="F146" s="11">
        <f>D146-W146</f>
        <v>2014.6077774598893</v>
      </c>
      <c r="G146" t="s">
        <v>25</v>
      </c>
      <c r="H146" s="13">
        <v>-17.715747</v>
      </c>
      <c r="I146" s="13">
        <v>141.093547</v>
      </c>
      <c r="J146">
        <v>1</v>
      </c>
      <c r="K146" t="s">
        <v>226</v>
      </c>
      <c r="L146" s="17" t="s">
        <v>227</v>
      </c>
      <c r="M146" s="17" t="s">
        <v>227</v>
      </c>
      <c r="N146" t="s">
        <v>236</v>
      </c>
      <c r="O146" t="s">
        <v>218</v>
      </c>
      <c r="P146" t="s">
        <v>220</v>
      </c>
      <c r="Q146" s="14"/>
      <c r="R146" s="14"/>
      <c r="S146" s="11"/>
      <c r="T146" s="11"/>
      <c r="U146" s="11">
        <v>3500</v>
      </c>
      <c r="V146" s="54" t="s">
        <v>22</v>
      </c>
      <c r="W146" s="16">
        <f>(-LN(1-(U146/6380))-0.124)/0.08</f>
        <v>8.3922225401105486</v>
      </c>
    </row>
    <row r="147" spans="1:23" x14ac:dyDescent="0.2">
      <c r="A147" s="8" t="s">
        <v>214</v>
      </c>
      <c r="B147" s="9" t="b">
        <v>1</v>
      </c>
      <c r="C147" s="10" t="s">
        <v>24</v>
      </c>
      <c r="D147" s="11">
        <v>2023</v>
      </c>
      <c r="E147" s="12">
        <v>0</v>
      </c>
      <c r="F147" s="11">
        <f>D147-W147</f>
        <v>2015.8464137429423</v>
      </c>
      <c r="G147" t="s">
        <v>215</v>
      </c>
      <c r="H147" s="13">
        <v>-17.585782999999999</v>
      </c>
      <c r="I147" s="13">
        <v>140.75537399999999</v>
      </c>
      <c r="J147">
        <v>1</v>
      </c>
      <c r="K147" t="s">
        <v>226</v>
      </c>
      <c r="L147" s="17" t="s">
        <v>227</v>
      </c>
      <c r="M147" s="17" t="s">
        <v>227</v>
      </c>
      <c r="N147" t="s">
        <v>236</v>
      </c>
      <c r="O147" t="s">
        <v>218</v>
      </c>
      <c r="P147" t="s">
        <v>220</v>
      </c>
      <c r="Q147" s="14"/>
      <c r="R147" s="14"/>
      <c r="S147" s="11"/>
      <c r="T147" s="11"/>
      <c r="U147" s="11">
        <v>3200</v>
      </c>
      <c r="V147" s="54" t="s">
        <v>22</v>
      </c>
      <c r="W147" s="16">
        <f>(-LN(1-(U147/6380))-0.124)/0.08</f>
        <v>7.153586257057662</v>
      </c>
    </row>
    <row r="148" spans="1:23" x14ac:dyDescent="0.2">
      <c r="A148"/>
      <c r="B148"/>
      <c r="Q148"/>
      <c r="R148"/>
    </row>
    <row r="149" spans="1:23" x14ac:dyDescent="0.2">
      <c r="A149"/>
      <c r="B149"/>
      <c r="Q149"/>
      <c r="R149"/>
    </row>
    <row r="150" spans="1:23" x14ac:dyDescent="0.2">
      <c r="A150"/>
      <c r="B150"/>
      <c r="Q150"/>
      <c r="R150"/>
    </row>
    <row r="151" spans="1:23" x14ac:dyDescent="0.2">
      <c r="A151"/>
      <c r="B151"/>
      <c r="Q151"/>
      <c r="R151"/>
    </row>
    <row r="152" spans="1:23" x14ac:dyDescent="0.2">
      <c r="A152"/>
      <c r="B152"/>
      <c r="Q152"/>
      <c r="R152"/>
    </row>
    <row r="153" spans="1:23" x14ac:dyDescent="0.2">
      <c r="A153"/>
      <c r="B153"/>
      <c r="Q153"/>
      <c r="R153"/>
    </row>
    <row r="154" spans="1:23" x14ac:dyDescent="0.2">
      <c r="A154"/>
      <c r="B154"/>
      <c r="Q154"/>
      <c r="R154"/>
    </row>
    <row r="155" spans="1:23" x14ac:dyDescent="0.2">
      <c r="A155"/>
      <c r="B155"/>
      <c r="Q155"/>
      <c r="R155"/>
    </row>
    <row r="156" spans="1:23" x14ac:dyDescent="0.2">
      <c r="A156"/>
      <c r="B156"/>
      <c r="Q156"/>
      <c r="R156"/>
    </row>
    <row r="157" spans="1:23" x14ac:dyDescent="0.2">
      <c r="A157"/>
      <c r="B157"/>
      <c r="Q157"/>
      <c r="R157"/>
    </row>
    <row r="158" spans="1:23" x14ac:dyDescent="0.2">
      <c r="A158"/>
      <c r="B158"/>
      <c r="Q158"/>
      <c r="R158"/>
    </row>
    <row r="159" spans="1:23" x14ac:dyDescent="0.2">
      <c r="A159"/>
      <c r="B159"/>
      <c r="Q159"/>
      <c r="R159"/>
    </row>
    <row r="160" spans="1:23" x14ac:dyDescent="0.2">
      <c r="A160"/>
      <c r="B160"/>
      <c r="Q160"/>
      <c r="R160"/>
    </row>
    <row r="161" spans="1:18" x14ac:dyDescent="0.2">
      <c r="A161"/>
      <c r="B161"/>
      <c r="Q161"/>
      <c r="R161"/>
    </row>
    <row r="162" spans="1:18" x14ac:dyDescent="0.2">
      <c r="A162"/>
      <c r="B162"/>
      <c r="Q162"/>
      <c r="R162"/>
    </row>
    <row r="163" spans="1:18" x14ac:dyDescent="0.2">
      <c r="A163"/>
      <c r="B163"/>
      <c r="Q163"/>
      <c r="R163"/>
    </row>
    <row r="164" spans="1:18" x14ac:dyDescent="0.2">
      <c r="A164"/>
      <c r="B164"/>
      <c r="Q164"/>
      <c r="R164"/>
    </row>
    <row r="165" spans="1:18" x14ac:dyDescent="0.2">
      <c r="A165"/>
      <c r="B165"/>
      <c r="Q165"/>
      <c r="R165"/>
    </row>
    <row r="166" spans="1:18" x14ac:dyDescent="0.2">
      <c r="A166"/>
      <c r="B166"/>
      <c r="Q166"/>
      <c r="R166"/>
    </row>
    <row r="167" spans="1:18" x14ac:dyDescent="0.2">
      <c r="A167"/>
      <c r="B167"/>
      <c r="Q167"/>
      <c r="R167"/>
    </row>
    <row r="168" spans="1:18" x14ac:dyDescent="0.2">
      <c r="A168"/>
      <c r="B168"/>
      <c r="Q168"/>
      <c r="R168"/>
    </row>
    <row r="169" spans="1:18" x14ac:dyDescent="0.2">
      <c r="A169"/>
      <c r="B169"/>
      <c r="Q169"/>
      <c r="R169"/>
    </row>
    <row r="170" spans="1:18" x14ac:dyDescent="0.2">
      <c r="A170"/>
      <c r="B170"/>
      <c r="Q170"/>
      <c r="R170"/>
    </row>
    <row r="171" spans="1:18" x14ac:dyDescent="0.2">
      <c r="A171"/>
      <c r="B171"/>
      <c r="Q171"/>
      <c r="R171"/>
    </row>
    <row r="172" spans="1:18" x14ac:dyDescent="0.2">
      <c r="A172"/>
      <c r="B172"/>
      <c r="Q172"/>
      <c r="R172"/>
    </row>
    <row r="173" spans="1:18" x14ac:dyDescent="0.2">
      <c r="A173"/>
      <c r="B173"/>
      <c r="Q173"/>
      <c r="R173"/>
    </row>
    <row r="174" spans="1:18" x14ac:dyDescent="0.2">
      <c r="A174"/>
      <c r="B174"/>
      <c r="Q174"/>
      <c r="R174"/>
    </row>
    <row r="175" spans="1:18" x14ac:dyDescent="0.2">
      <c r="A175"/>
      <c r="B175"/>
      <c r="Q175"/>
      <c r="R175"/>
    </row>
    <row r="176" spans="1:18" x14ac:dyDescent="0.2">
      <c r="A176"/>
      <c r="B176"/>
      <c r="Q176"/>
      <c r="R176"/>
    </row>
  </sheetData>
  <sortState xmlns:xlrd2="http://schemas.microsoft.com/office/spreadsheetml/2017/richdata2" ref="A2:W176">
    <sortCondition ref="A36:A176"/>
  </sortState>
  <phoneticPr fontId="20" type="noConversion"/>
  <conditionalFormatting sqref="A177:A1048576 A1:A14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Biskis</dc:creator>
  <cp:lastModifiedBy>Nikki Biskis</cp:lastModifiedBy>
  <dcterms:created xsi:type="dcterms:W3CDTF">2024-08-30T02:46:59Z</dcterms:created>
  <dcterms:modified xsi:type="dcterms:W3CDTF">2025-07-07T10:00:20Z</dcterms:modified>
</cp:coreProperties>
</file>